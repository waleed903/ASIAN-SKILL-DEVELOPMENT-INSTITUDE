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a1f9411706e7a40/RECORDS!!/"/>
    </mc:Choice>
  </mc:AlternateContent>
  <xr:revisionPtr revIDLastSave="0" documentId="10_ncr:8000_{D3C48EED-DF69-440C-B26E-27DF1C26AD0B}" xr6:coauthVersionLast="47" xr6:coauthVersionMax="47" xr10:uidLastSave="{00000000-0000-0000-0000-000000000000}"/>
  <bookViews>
    <workbookView xWindow="-120" yWindow="-120" windowWidth="21840" windowHeight="13260" firstSheet="7" activeTab="10" xr2:uid="{00000000-000D-0000-FFFF-FFFF00000000}"/>
  </bookViews>
  <sheets>
    <sheet name="12" sheetId="3" r:id="rId1"/>
    <sheet name="01" sheetId="4" r:id="rId2"/>
    <sheet name="Feb 26" sheetId="6" r:id="rId3"/>
    <sheet name="MArch" sheetId="7" r:id="rId4"/>
    <sheet name="apr" sheetId="8" r:id="rId5"/>
    <sheet name="may" sheetId="9" r:id="rId6"/>
    <sheet name="june" sheetId="10" r:id="rId7"/>
    <sheet name="july" sheetId="11" r:id="rId8"/>
    <sheet name="August" sheetId="12" r:id="rId9"/>
    <sheet name="Sep" sheetId="13" r:id="rId10"/>
    <sheet name="OCT" sheetId="14" r:id="rId11"/>
  </sheets>
  <calcPr calcId="191028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4" l="1"/>
  <c r="J31" i="14"/>
  <c r="J32" i="14"/>
  <c r="J33" i="14"/>
  <c r="J34" i="14"/>
  <c r="J35" i="14"/>
  <c r="J36" i="14"/>
  <c r="I30" i="14"/>
  <c r="I31" i="14"/>
  <c r="I32" i="14"/>
  <c r="I33" i="14"/>
  <c r="I34" i="14"/>
  <c r="I35" i="14"/>
  <c r="I36" i="14"/>
  <c r="H30" i="14"/>
  <c r="H31" i="14"/>
  <c r="H32" i="14"/>
  <c r="H33" i="14"/>
  <c r="H34" i="14"/>
  <c r="H35" i="14"/>
  <c r="H36" i="14"/>
  <c r="M31" i="14"/>
  <c r="M30" i="14"/>
  <c r="H18" i="14"/>
  <c r="I18" i="14"/>
  <c r="J18" i="14"/>
  <c r="H19" i="14"/>
  <c r="I19" i="14"/>
  <c r="J19" i="14"/>
  <c r="H20" i="14"/>
  <c r="I20" i="14"/>
  <c r="J20" i="14"/>
  <c r="H21" i="14"/>
  <c r="I21" i="14"/>
  <c r="J21" i="14"/>
  <c r="H22" i="14"/>
  <c r="I22" i="14"/>
  <c r="J22" i="14"/>
  <c r="I7" i="14"/>
  <c r="I8" i="14"/>
  <c r="I9" i="14"/>
  <c r="I10" i="14"/>
  <c r="I11" i="14"/>
  <c r="I12" i="14"/>
  <c r="I13" i="14"/>
  <c r="I14" i="14"/>
  <c r="I15" i="14"/>
  <c r="I16" i="14"/>
  <c r="I17" i="14"/>
  <c r="I23" i="14"/>
  <c r="J7" i="14"/>
  <c r="J8" i="14"/>
  <c r="J9" i="14"/>
  <c r="J10" i="14"/>
  <c r="J11" i="14"/>
  <c r="J12" i="14"/>
  <c r="J13" i="14"/>
  <c r="J14" i="14"/>
  <c r="J15" i="14"/>
  <c r="J16" i="14"/>
  <c r="J17" i="14"/>
  <c r="J23" i="14"/>
  <c r="H23" i="14"/>
  <c r="P36" i="14"/>
  <c r="M35" i="14"/>
  <c r="H17" i="14"/>
  <c r="H16" i="14"/>
  <c r="H15" i="14"/>
  <c r="H14" i="14"/>
  <c r="H13" i="14"/>
  <c r="P13" i="14"/>
  <c r="M12" i="14" s="1"/>
  <c r="H12" i="14"/>
  <c r="H11" i="14"/>
  <c r="H10" i="14"/>
  <c r="H9" i="14"/>
  <c r="M8" i="14"/>
  <c r="H8" i="14"/>
  <c r="M7" i="14"/>
  <c r="H7" i="14"/>
  <c r="P12" i="13"/>
  <c r="M11" i="13" s="1"/>
  <c r="M6" i="13"/>
  <c r="M7" i="13"/>
  <c r="H19" i="13"/>
  <c r="I19" i="13"/>
  <c r="J19" i="13"/>
  <c r="M28" i="13"/>
  <c r="M27" i="13"/>
  <c r="H18" i="13"/>
  <c r="I18" i="13"/>
  <c r="J18" i="13"/>
  <c r="M26" i="12"/>
  <c r="M27" i="12"/>
  <c r="M6" i="12"/>
  <c r="M5" i="12"/>
  <c r="H17" i="13"/>
  <c r="I17" i="13"/>
  <c r="J17" i="13"/>
  <c r="H33" i="13"/>
  <c r="I33" i="13"/>
  <c r="J33" i="13"/>
  <c r="H32" i="13"/>
  <c r="I32" i="13"/>
  <c r="J32" i="13"/>
  <c r="H16" i="13"/>
  <c r="I16" i="13"/>
  <c r="J16" i="13"/>
  <c r="I14" i="13"/>
  <c r="I15" i="13"/>
  <c r="J31" i="13"/>
  <c r="I31" i="13"/>
  <c r="H31" i="13"/>
  <c r="J30" i="13"/>
  <c r="I30" i="13"/>
  <c r="H30" i="13"/>
  <c r="P33" i="13"/>
  <c r="M32" i="13" s="1"/>
  <c r="J29" i="13"/>
  <c r="I29" i="13"/>
  <c r="H29" i="13"/>
  <c r="J28" i="13"/>
  <c r="I28" i="13"/>
  <c r="H28" i="13"/>
  <c r="J27" i="13"/>
  <c r="I27" i="13"/>
  <c r="H27" i="13"/>
  <c r="J15" i="13"/>
  <c r="H15" i="13"/>
  <c r="J14" i="13"/>
  <c r="H14" i="13"/>
  <c r="J13" i="13"/>
  <c r="H13" i="13"/>
  <c r="J12" i="13"/>
  <c r="I12" i="13"/>
  <c r="H12" i="13"/>
  <c r="J11" i="13"/>
  <c r="I11" i="13"/>
  <c r="H11" i="13"/>
  <c r="J10" i="13"/>
  <c r="I10" i="13"/>
  <c r="H10" i="13"/>
  <c r="J9" i="13"/>
  <c r="I9" i="13"/>
  <c r="H9" i="13"/>
  <c r="J8" i="13"/>
  <c r="I8" i="13"/>
  <c r="H8" i="13"/>
  <c r="J7" i="13"/>
  <c r="I7" i="13"/>
  <c r="H7" i="13"/>
  <c r="J6" i="13"/>
  <c r="I6" i="13"/>
  <c r="M8" i="13" s="1"/>
  <c r="H6" i="13"/>
  <c r="I31" i="12"/>
  <c r="I26" i="12"/>
  <c r="H30" i="12"/>
  <c r="M10" i="14" l="1"/>
  <c r="M32" i="14"/>
  <c r="M36" i="14" s="1"/>
  <c r="M33" i="14"/>
  <c r="M9" i="14"/>
  <c r="M12" i="13"/>
  <c r="M9" i="13"/>
  <c r="M29" i="13"/>
  <c r="M33" i="13" s="1"/>
  <c r="M30" i="13"/>
  <c r="H20" i="12"/>
  <c r="I20" i="12"/>
  <c r="J20" i="12"/>
  <c r="H17" i="12"/>
  <c r="H18" i="12"/>
  <c r="H19" i="12"/>
  <c r="I17" i="12"/>
  <c r="I18" i="12"/>
  <c r="I19" i="12"/>
  <c r="J17" i="12"/>
  <c r="J18" i="12"/>
  <c r="J19" i="12"/>
  <c r="H16" i="12"/>
  <c r="J16" i="12"/>
  <c r="H36" i="12"/>
  <c r="H37" i="12"/>
  <c r="H38" i="12"/>
  <c r="I36" i="12"/>
  <c r="I37" i="12"/>
  <c r="I38" i="12"/>
  <c r="J36" i="12"/>
  <c r="J37" i="12"/>
  <c r="J38" i="12"/>
  <c r="H33" i="12"/>
  <c r="H34" i="12"/>
  <c r="H35" i="12"/>
  <c r="I33" i="12"/>
  <c r="I34" i="12"/>
  <c r="I35" i="12"/>
  <c r="J33" i="12"/>
  <c r="J34" i="12"/>
  <c r="J35" i="12"/>
  <c r="H26" i="12"/>
  <c r="H27" i="12"/>
  <c r="H28" i="12"/>
  <c r="H29" i="12"/>
  <c r="H31" i="12"/>
  <c r="H32" i="12"/>
  <c r="H6" i="12"/>
  <c r="H7" i="12"/>
  <c r="H8" i="12"/>
  <c r="H9" i="12"/>
  <c r="H10" i="12"/>
  <c r="H11" i="12"/>
  <c r="H12" i="12"/>
  <c r="H13" i="12"/>
  <c r="H14" i="12"/>
  <c r="H15" i="12"/>
  <c r="H5" i="12"/>
  <c r="I9" i="12"/>
  <c r="J26" i="12"/>
  <c r="J27" i="12"/>
  <c r="J28" i="12"/>
  <c r="J29" i="12"/>
  <c r="J30" i="12"/>
  <c r="J31" i="12"/>
  <c r="J32" i="12"/>
  <c r="J6" i="12"/>
  <c r="J7" i="12"/>
  <c r="J8" i="12"/>
  <c r="J9" i="12"/>
  <c r="J10" i="12"/>
  <c r="J11" i="12"/>
  <c r="J12" i="12"/>
  <c r="J13" i="12"/>
  <c r="J14" i="12"/>
  <c r="J15" i="12"/>
  <c r="J5" i="12"/>
  <c r="I5" i="12"/>
  <c r="I8" i="12"/>
  <c r="I27" i="12"/>
  <c r="I28" i="12"/>
  <c r="I29" i="12"/>
  <c r="I30" i="12"/>
  <c r="I32" i="12"/>
  <c r="I6" i="12"/>
  <c r="I7" i="12"/>
  <c r="I10" i="12"/>
  <c r="I11" i="12"/>
  <c r="I12" i="12"/>
  <c r="I13" i="12"/>
  <c r="I14" i="12"/>
  <c r="I15" i="12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27" i="11"/>
  <c r="N30" i="11"/>
  <c r="O5" i="11"/>
  <c r="N11" i="11"/>
  <c r="M34" i="14" l="1"/>
  <c r="M13" i="14"/>
  <c r="M11" i="14"/>
  <c r="M7" i="12"/>
  <c r="M11" i="12" s="1"/>
  <c r="M8" i="12"/>
  <c r="M10" i="13"/>
  <c r="M31" i="13"/>
  <c r="M28" i="12"/>
  <c r="M29" i="12"/>
  <c r="J42" i="11"/>
  <c r="M9" i="12" l="1"/>
  <c r="Q40" i="11"/>
  <c r="N34" i="11" s="1"/>
  <c r="J5" i="11"/>
  <c r="N29" i="11"/>
  <c r="N6" i="11"/>
  <c r="N7" i="11" s="1"/>
  <c r="N5" i="11"/>
  <c r="N31" i="11" l="1"/>
  <c r="O30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J6" i="11"/>
  <c r="J7" i="11"/>
  <c r="J8" i="11"/>
  <c r="J9" i="11"/>
  <c r="J10" i="11"/>
  <c r="J13" i="11"/>
  <c r="J14" i="11"/>
  <c r="J15" i="11"/>
  <c r="J17" i="11"/>
  <c r="J18" i="11"/>
  <c r="J20" i="11"/>
  <c r="I20" i="11"/>
  <c r="K20" i="11"/>
  <c r="K38" i="11" l="1"/>
  <c r="K39" i="11"/>
  <c r="K40" i="11"/>
  <c r="I19" i="11"/>
  <c r="K19" i="11"/>
  <c r="I18" i="11" l="1"/>
  <c r="K18" i="11"/>
  <c r="K36" i="11"/>
  <c r="K37" i="11"/>
  <c r="N32" i="11"/>
  <c r="M38" i="11"/>
  <c r="M1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5" i="11"/>
  <c r="I5" i="11"/>
  <c r="I10" i="11"/>
  <c r="K35" i="11"/>
  <c r="I17" i="11"/>
  <c r="I16" i="11"/>
  <c r="I15" i="11"/>
  <c r="I6" i="11"/>
  <c r="I7" i="11"/>
  <c r="I8" i="11"/>
  <c r="I9" i="11"/>
  <c r="I11" i="11"/>
  <c r="I12" i="11"/>
  <c r="I14" i="11"/>
  <c r="P32" i="12"/>
  <c r="M30" i="12" s="1"/>
  <c r="M31" i="12" s="1"/>
  <c r="P11" i="12"/>
  <c r="K34" i="11"/>
  <c r="K33" i="11"/>
  <c r="K32" i="11"/>
  <c r="K31" i="11"/>
  <c r="K30" i="11"/>
  <c r="K29" i="11"/>
  <c r="K28" i="11"/>
  <c r="K27" i="11"/>
  <c r="Q11" i="11"/>
  <c r="N10" i="11" s="1"/>
  <c r="I6" i="10"/>
  <c r="M11" i="10"/>
  <c r="M24" i="10"/>
  <c r="M23" i="10"/>
  <c r="M27" i="10"/>
  <c r="M22" i="10"/>
  <c r="M21" i="10"/>
  <c r="M7" i="10"/>
  <c r="M6" i="10"/>
  <c r="M5" i="10"/>
  <c r="H15" i="10"/>
  <c r="I15" i="10"/>
  <c r="J15" i="10"/>
  <c r="H14" i="10"/>
  <c r="I14" i="10"/>
  <c r="J14" i="10"/>
  <c r="H26" i="10"/>
  <c r="H27" i="10"/>
  <c r="H28" i="10"/>
  <c r="H29" i="10"/>
  <c r="H12" i="10"/>
  <c r="I12" i="10"/>
  <c r="J12" i="10"/>
  <c r="H8" i="10"/>
  <c r="I8" i="10"/>
  <c r="J8" i="10"/>
  <c r="H9" i="10"/>
  <c r="I9" i="10"/>
  <c r="J9" i="10"/>
  <c r="H10" i="10"/>
  <c r="I10" i="10"/>
  <c r="J10" i="10"/>
  <c r="H11" i="10"/>
  <c r="I11" i="10"/>
  <c r="J11" i="10"/>
  <c r="J29" i="10"/>
  <c r="I29" i="10"/>
  <c r="J28" i="10"/>
  <c r="I28" i="10"/>
  <c r="P22" i="10"/>
  <c r="J27" i="10"/>
  <c r="I27" i="10"/>
  <c r="M26" i="10"/>
  <c r="J26" i="10"/>
  <c r="I26" i="10"/>
  <c r="J25" i="10"/>
  <c r="I25" i="10"/>
  <c r="H25" i="10"/>
  <c r="J24" i="10"/>
  <c r="I24" i="10"/>
  <c r="H24" i="10"/>
  <c r="J23" i="10"/>
  <c r="I23" i="10"/>
  <c r="H23" i="10"/>
  <c r="J22" i="10"/>
  <c r="I22" i="10"/>
  <c r="H22" i="10"/>
  <c r="J21" i="10"/>
  <c r="I21" i="10"/>
  <c r="H21" i="10"/>
  <c r="P11" i="10"/>
  <c r="M10" i="10"/>
  <c r="J13" i="10"/>
  <c r="I13" i="10"/>
  <c r="H13" i="10"/>
  <c r="J7" i="10"/>
  <c r="I7" i="10"/>
  <c r="H7" i="10"/>
  <c r="J6" i="10"/>
  <c r="H6" i="10"/>
  <c r="J5" i="10"/>
  <c r="I5" i="10"/>
  <c r="H5" i="10"/>
  <c r="H8" i="9"/>
  <c r="N19" i="10"/>
  <c r="M8" i="10"/>
  <c r="M9" i="10"/>
  <c r="M25" i="10"/>
  <c r="M21" i="9"/>
  <c r="M20" i="9"/>
  <c r="M10" i="9"/>
  <c r="N6" i="9"/>
  <c r="P22" i="9"/>
  <c r="P11" i="9"/>
  <c r="M17" i="9"/>
  <c r="N19" i="9"/>
  <c r="M16" i="9"/>
  <c r="N15" i="9"/>
  <c r="N16" i="9"/>
  <c r="H24" i="9"/>
  <c r="I24" i="9"/>
  <c r="J24" i="9"/>
  <c r="J17" i="9"/>
  <c r="J18" i="9"/>
  <c r="J19" i="9"/>
  <c r="J20" i="9"/>
  <c r="J21" i="9"/>
  <c r="J22" i="9"/>
  <c r="J23" i="9"/>
  <c r="J16" i="9"/>
  <c r="I17" i="9"/>
  <c r="I18" i="9"/>
  <c r="I19" i="9"/>
  <c r="I20" i="9"/>
  <c r="I21" i="9"/>
  <c r="I22" i="9"/>
  <c r="I23" i="9"/>
  <c r="I16" i="9"/>
  <c r="H17" i="9"/>
  <c r="H18" i="9"/>
  <c r="H19" i="9"/>
  <c r="H20" i="9"/>
  <c r="H23" i="9"/>
  <c r="H16" i="9"/>
  <c r="J6" i="9"/>
  <c r="J7" i="9"/>
  <c r="J8" i="9"/>
  <c r="I8" i="9"/>
  <c r="D8" i="9"/>
  <c r="I7" i="9"/>
  <c r="H7" i="9"/>
  <c r="D7" i="9"/>
  <c r="M6" i="9"/>
  <c r="N9" i="9"/>
  <c r="N10" i="9"/>
  <c r="M5" i="9"/>
  <c r="I6" i="9"/>
  <c r="H6" i="9"/>
  <c r="D6" i="9"/>
  <c r="J5" i="9"/>
  <c r="I5" i="9"/>
  <c r="H5" i="9"/>
  <c r="D5" i="9"/>
  <c r="G14" i="8"/>
  <c r="M22" i="9"/>
  <c r="M18" i="9"/>
  <c r="M9" i="9"/>
  <c r="M11" i="9"/>
  <c r="M7" i="9"/>
  <c r="G31" i="8"/>
  <c r="Z20" i="8"/>
  <c r="Q28" i="8"/>
  <c r="H8" i="8"/>
  <c r="R8" i="8"/>
  <c r="H9" i="8"/>
  <c r="R9" i="8"/>
  <c r="Q13" i="8"/>
  <c r="AL74" i="8"/>
  <c r="AL73" i="8"/>
  <c r="AL72" i="8"/>
  <c r="AL71" i="8"/>
  <c r="AL70" i="8"/>
  <c r="AL69" i="8"/>
  <c r="AL68" i="8"/>
  <c r="AL67" i="8"/>
  <c r="AL66" i="8"/>
  <c r="AL65" i="8"/>
  <c r="AL64" i="8"/>
  <c r="AL63" i="8"/>
  <c r="AL62" i="8"/>
  <c r="AL61" i="8"/>
  <c r="AL60" i="8"/>
  <c r="AL59" i="8"/>
  <c r="AL58" i="8"/>
  <c r="AL57" i="8"/>
  <c r="O59" i="8"/>
  <c r="AP56" i="8"/>
  <c r="AO67" i="8"/>
  <c r="AL56" i="8"/>
  <c r="AP55" i="8"/>
  <c r="AL55" i="8"/>
  <c r="AL54" i="8"/>
  <c r="G54" i="8"/>
  <c r="AL53" i="8"/>
  <c r="G53" i="8"/>
  <c r="AL52" i="8"/>
  <c r="G52" i="8"/>
  <c r="L38" i="8"/>
  <c r="K49" i="8"/>
  <c r="L37" i="8"/>
  <c r="AA10" i="8"/>
  <c r="AJ9" i="8"/>
  <c r="AI20" i="8"/>
  <c r="AA9" i="8"/>
  <c r="Z14" i="8"/>
  <c r="Q18" i="8"/>
  <c r="G20" i="8"/>
  <c r="AJ8" i="8"/>
  <c r="AE8" i="8"/>
  <c r="AA8" i="8"/>
  <c r="AP57" i="8"/>
  <c r="AI14" i="8"/>
  <c r="K43" i="8"/>
  <c r="AO61" i="8"/>
  <c r="R8" i="7"/>
  <c r="AL74" i="7"/>
  <c r="AL73" i="7"/>
  <c r="AL72" i="7"/>
  <c r="AL71" i="7"/>
  <c r="AL70" i="7"/>
  <c r="AL69" i="7"/>
  <c r="AL68" i="7"/>
  <c r="AL67" i="7"/>
  <c r="AL66" i="7"/>
  <c r="AL65" i="7"/>
  <c r="O57" i="7"/>
  <c r="AL64" i="7"/>
  <c r="AL63" i="7"/>
  <c r="AL62" i="7"/>
  <c r="AL61" i="7"/>
  <c r="AL60" i="7"/>
  <c r="AL59" i="7"/>
  <c r="AL58" i="7"/>
  <c r="AL57" i="7"/>
  <c r="AP56" i="7"/>
  <c r="AO67" i="7"/>
  <c r="AL56" i="7"/>
  <c r="AP55" i="7"/>
  <c r="AL55" i="7"/>
  <c r="AL54" i="7"/>
  <c r="G54" i="7"/>
  <c r="AL53" i="7"/>
  <c r="G53" i="7"/>
  <c r="AL52" i="7"/>
  <c r="G52" i="7"/>
  <c r="L36" i="7"/>
  <c r="K47" i="7"/>
  <c r="L35" i="7"/>
  <c r="G31" i="7"/>
  <c r="AA10" i="7"/>
  <c r="AJ9" i="7"/>
  <c r="AI20" i="7"/>
  <c r="AA9" i="7"/>
  <c r="Z14" i="7"/>
  <c r="R9" i="7"/>
  <c r="Q20" i="7"/>
  <c r="H9" i="7"/>
  <c r="G20" i="7"/>
  <c r="AJ8" i="7"/>
  <c r="AE8" i="7"/>
  <c r="AA8" i="7"/>
  <c r="H8" i="7"/>
  <c r="AP57" i="7"/>
  <c r="Z26" i="8"/>
  <c r="Z36" i="8"/>
  <c r="AO83" i="8"/>
  <c r="AO73" i="8"/>
  <c r="AI36" i="8"/>
  <c r="AI26" i="8"/>
  <c r="G36" i="8"/>
  <c r="G26" i="8"/>
  <c r="K55" i="8"/>
  <c r="K65" i="8"/>
  <c r="Q33" i="8"/>
  <c r="Q23" i="8"/>
  <c r="Z20" i="7"/>
  <c r="Z26" i="7"/>
  <c r="K41" i="7"/>
  <c r="K63" i="7"/>
  <c r="G14" i="7"/>
  <c r="G36" i="7"/>
  <c r="Z36" i="7"/>
  <c r="Q14" i="7"/>
  <c r="AI14" i="7"/>
  <c r="AO61" i="7"/>
  <c r="I29" i="4"/>
  <c r="G31" i="4"/>
  <c r="S26" i="4"/>
  <c r="Q31" i="4"/>
  <c r="K53" i="7"/>
  <c r="G26" i="7"/>
  <c r="Q36" i="7"/>
  <c r="Q26" i="7"/>
  <c r="AO83" i="7"/>
  <c r="AO73" i="7"/>
  <c r="AI36" i="7"/>
  <c r="AI26" i="7"/>
  <c r="AA10" i="4"/>
  <c r="AA9" i="4"/>
  <c r="Z20" i="4"/>
  <c r="R9" i="4"/>
  <c r="Q14" i="4"/>
  <c r="Q36" i="4"/>
  <c r="H9" i="4"/>
  <c r="G20" i="4"/>
  <c r="AA8" i="4"/>
  <c r="R8" i="4"/>
  <c r="H8" i="4"/>
  <c r="G14" i="4"/>
  <c r="Z14" i="4"/>
  <c r="Q20" i="4"/>
  <c r="Q26" i="4"/>
  <c r="S19" i="6"/>
  <c r="S15" i="6"/>
  <c r="AA10" i="6"/>
  <c r="AA9" i="6"/>
  <c r="R9" i="6"/>
  <c r="H9" i="6"/>
  <c r="AA8" i="6"/>
  <c r="R8" i="6"/>
  <c r="H8" i="6"/>
  <c r="AE8" i="4"/>
  <c r="AL74" i="4"/>
  <c r="AL73" i="4"/>
  <c r="AL72" i="4"/>
  <c r="AL71" i="4"/>
  <c r="AL70" i="4"/>
  <c r="AL69" i="4"/>
  <c r="AL68" i="4"/>
  <c r="AL67" i="4"/>
  <c r="AL66" i="4"/>
  <c r="O65" i="4"/>
  <c r="AL65" i="4"/>
  <c r="AL64" i="4"/>
  <c r="AL63" i="4"/>
  <c r="AL62" i="4"/>
  <c r="AL61" i="4"/>
  <c r="AL60" i="4"/>
  <c r="AL59" i="4"/>
  <c r="AL58" i="4"/>
  <c r="AL57" i="4"/>
  <c r="AP56" i="4"/>
  <c r="AL56" i="4"/>
  <c r="AP55" i="4"/>
  <c r="AL55" i="4"/>
  <c r="AL54" i="4"/>
  <c r="G54" i="4"/>
  <c r="AL53" i="4"/>
  <c r="G53" i="4"/>
  <c r="AL52" i="4"/>
  <c r="G52" i="4"/>
  <c r="L44" i="4"/>
  <c r="L43" i="4"/>
  <c r="AJ9" i="4"/>
  <c r="AJ8" i="4"/>
  <c r="AZ74" i="3"/>
  <c r="AZ73" i="3"/>
  <c r="AZ72" i="3"/>
  <c r="AZ71" i="3"/>
  <c r="AZ70" i="3"/>
  <c r="AZ69" i="3"/>
  <c r="AZ68" i="3"/>
  <c r="AZ67" i="3"/>
  <c r="AZ66" i="3"/>
  <c r="O66" i="3"/>
  <c r="AZ65" i="3"/>
  <c r="AZ64" i="3"/>
  <c r="AZ63" i="3"/>
  <c r="AZ62" i="3"/>
  <c r="AZ61" i="3"/>
  <c r="AZ60" i="3"/>
  <c r="AZ59" i="3"/>
  <c r="AZ58" i="3"/>
  <c r="AZ57" i="3"/>
  <c r="BD56" i="3"/>
  <c r="BC67" i="3"/>
  <c r="AZ56" i="3"/>
  <c r="BD55" i="3"/>
  <c r="AZ55" i="3"/>
  <c r="AZ54" i="3"/>
  <c r="G54" i="3"/>
  <c r="AZ53" i="3"/>
  <c r="G53" i="3"/>
  <c r="AZ52" i="3"/>
  <c r="G52" i="3"/>
  <c r="Y51" i="3"/>
  <c r="X62" i="3"/>
  <c r="Y50" i="3"/>
  <c r="M45" i="3"/>
  <c r="L56" i="3"/>
  <c r="M44" i="3"/>
  <c r="AM10" i="3"/>
  <c r="AX9" i="3"/>
  <c r="AW20" i="3"/>
  <c r="AM9" i="3"/>
  <c r="AL14" i="3"/>
  <c r="AC9" i="3"/>
  <c r="AB20" i="3"/>
  <c r="R9" i="3"/>
  <c r="Q14" i="3"/>
  <c r="H9" i="3"/>
  <c r="G20" i="3"/>
  <c r="AX8" i="3"/>
  <c r="AM8" i="3"/>
  <c r="AC8" i="3"/>
  <c r="R8" i="3"/>
  <c r="H8" i="3"/>
  <c r="AP57" i="4"/>
  <c r="Z36" i="4"/>
  <c r="Z26" i="4"/>
  <c r="G36" i="4"/>
  <c r="G26" i="4"/>
  <c r="G20" i="6"/>
  <c r="G14" i="6"/>
  <c r="Q20" i="6"/>
  <c r="Q14" i="6"/>
  <c r="Q36" i="6"/>
  <c r="Z20" i="6"/>
  <c r="Z14" i="6"/>
  <c r="AI20" i="4"/>
  <c r="AI14" i="4"/>
  <c r="K55" i="4"/>
  <c r="K49" i="4"/>
  <c r="AO67" i="4"/>
  <c r="AO61" i="4"/>
  <c r="L50" i="3"/>
  <c r="L72" i="3"/>
  <c r="BD57" i="3"/>
  <c r="AC10" i="3"/>
  <c r="AB14" i="3"/>
  <c r="AB36" i="3"/>
  <c r="G14" i="3"/>
  <c r="G36" i="3"/>
  <c r="AW14" i="3"/>
  <c r="AW36" i="3"/>
  <c r="Q36" i="3"/>
  <c r="AL36" i="3"/>
  <c r="Q20" i="3"/>
  <c r="Q26" i="3"/>
  <c r="AL20" i="3"/>
  <c r="AL26" i="3"/>
  <c r="G26" i="3"/>
  <c r="AB26" i="3"/>
  <c r="X56" i="3"/>
  <c r="BC61" i="3"/>
  <c r="Z36" i="6"/>
  <c r="Z26" i="6"/>
  <c r="Q26" i="6"/>
  <c r="G36" i="6"/>
  <c r="G26" i="6"/>
  <c r="AO83" i="4"/>
  <c r="AO73" i="4"/>
  <c r="K71" i="4"/>
  <c r="K61" i="4"/>
  <c r="AI36" i="4"/>
  <c r="AI26" i="4"/>
  <c r="L62" i="3"/>
  <c r="AW26" i="3"/>
  <c r="BC83" i="3"/>
  <c r="BC73" i="3"/>
  <c r="X78" i="3"/>
  <c r="X68" i="3"/>
  <c r="N8" i="11" l="1"/>
  <c r="N9" i="11" s="1"/>
  <c r="N33" i="11"/>
</calcChain>
</file>

<file path=xl/sharedStrings.xml><?xml version="1.0" encoding="utf-8"?>
<sst xmlns="http://schemas.openxmlformats.org/spreadsheetml/2006/main" count="1756" uniqueCount="357">
  <si>
    <t xml:space="preserve">      Tuition          </t>
  </si>
  <si>
    <t>S.No</t>
  </si>
  <si>
    <t>Name</t>
  </si>
  <si>
    <t>subject</t>
  </si>
  <si>
    <t>Date</t>
  </si>
  <si>
    <t>Fee</t>
  </si>
  <si>
    <t>Fee paid</t>
  </si>
  <si>
    <t>Manahil</t>
  </si>
  <si>
    <t>Haleema</t>
  </si>
  <si>
    <t>Yusra</t>
  </si>
  <si>
    <t>Kamran</t>
  </si>
  <si>
    <t>hussain</t>
  </si>
  <si>
    <t>Farhan syed</t>
  </si>
  <si>
    <t>Eng Urdu</t>
  </si>
  <si>
    <t xml:space="preserve">Habib Ullah </t>
  </si>
  <si>
    <t>Che,phy,Maths</t>
  </si>
  <si>
    <t>23/10/2025</t>
  </si>
  <si>
    <t>Ehsan ullah</t>
  </si>
  <si>
    <t>Computer</t>
  </si>
  <si>
    <t>25/10/2025</t>
  </si>
  <si>
    <t>Farhad</t>
  </si>
  <si>
    <t>MATHS</t>
  </si>
  <si>
    <t xml:space="preserve">Farhan </t>
  </si>
  <si>
    <t>Eng</t>
  </si>
  <si>
    <t>TOTAL</t>
  </si>
  <si>
    <t>Science,Math</t>
  </si>
  <si>
    <t xml:space="preserve">Zain </t>
  </si>
  <si>
    <t>S.C</t>
  </si>
  <si>
    <t>Ehsan Ullah</t>
  </si>
  <si>
    <t>previous</t>
  </si>
  <si>
    <t>Bilawal</t>
  </si>
  <si>
    <t>G.S</t>
  </si>
  <si>
    <t>27/10/2025</t>
  </si>
  <si>
    <t>Inham</t>
  </si>
  <si>
    <t>C.S</t>
  </si>
  <si>
    <t>24/11/2025</t>
  </si>
  <si>
    <t>Abdul Mohiz</t>
  </si>
  <si>
    <t>Total Fee</t>
  </si>
  <si>
    <t>24/11/205</t>
  </si>
  <si>
    <t>Fee Received</t>
  </si>
  <si>
    <t>Farhan</t>
  </si>
  <si>
    <t>Che</t>
  </si>
  <si>
    <t xml:space="preserve">    </t>
  </si>
  <si>
    <t>Hashir</t>
  </si>
  <si>
    <t>CHE+ PHY</t>
  </si>
  <si>
    <t>Fee Balanced</t>
  </si>
  <si>
    <t>TEACHER</t>
  </si>
  <si>
    <t>ACADEMY</t>
  </si>
  <si>
    <t>Teacher Paid</t>
  </si>
  <si>
    <t>Teacher Remaning</t>
  </si>
  <si>
    <t xml:space="preserve">Sir Ilyas </t>
  </si>
  <si>
    <t>Father Name</t>
  </si>
  <si>
    <t>Paid</t>
  </si>
  <si>
    <t xml:space="preserve">Abubakkar </t>
  </si>
  <si>
    <t>Phy</t>
  </si>
  <si>
    <t>Tacher Paid</t>
  </si>
  <si>
    <t>Balance</t>
  </si>
  <si>
    <t>Contact</t>
  </si>
  <si>
    <t xml:space="preserve">Abdullah </t>
  </si>
  <si>
    <t>Phy,che</t>
  </si>
  <si>
    <t xml:space="preserve">Habibullah </t>
  </si>
  <si>
    <t>Phy Che</t>
  </si>
  <si>
    <t xml:space="preserve">Shah Fasal </t>
  </si>
  <si>
    <t>phy</t>
  </si>
  <si>
    <t>Hamza</t>
  </si>
  <si>
    <t xml:space="preserve">Nihal </t>
  </si>
  <si>
    <t>Phy che bio</t>
  </si>
  <si>
    <t>Maths</t>
  </si>
  <si>
    <t>over all</t>
  </si>
  <si>
    <t xml:space="preserve">Saad </t>
  </si>
  <si>
    <t>Improvement</t>
  </si>
  <si>
    <t>Imran nazir</t>
  </si>
  <si>
    <t>seo</t>
  </si>
  <si>
    <t>Haris Ali</t>
  </si>
  <si>
    <t>SEO</t>
  </si>
  <si>
    <t>jawad</t>
  </si>
  <si>
    <t>Zaheer Ahmad</t>
  </si>
  <si>
    <t>Mir Taj</t>
  </si>
  <si>
    <t xml:space="preserve"> </t>
  </si>
  <si>
    <t xml:space="preserve">English &amp; physics   on 22 Oct </t>
  </si>
  <si>
    <t>Ayesha</t>
  </si>
  <si>
    <t>Ramzan</t>
  </si>
  <si>
    <t xml:space="preserve">Shahzad </t>
  </si>
  <si>
    <t>Habib Ullah</t>
  </si>
  <si>
    <t>Abdullah</t>
  </si>
  <si>
    <t xml:space="preserve">Bilawal </t>
  </si>
  <si>
    <t>Maryam</t>
  </si>
  <si>
    <t>23/8/25</t>
  </si>
  <si>
    <t>21/08/25</t>
  </si>
  <si>
    <t>Class</t>
  </si>
  <si>
    <t>Eng/isl</t>
  </si>
  <si>
    <t>9th</t>
  </si>
  <si>
    <t>Zummar</t>
  </si>
  <si>
    <t>22/12/2025</t>
  </si>
  <si>
    <t>Ali</t>
  </si>
  <si>
    <t>Che math</t>
  </si>
  <si>
    <t>10th</t>
  </si>
  <si>
    <t>Mohiz</t>
  </si>
  <si>
    <t>Khushbakht</t>
  </si>
  <si>
    <t>Stats</t>
  </si>
  <si>
    <t>Urdu,T.Q,Edu,maths</t>
  </si>
  <si>
    <t>eman</t>
  </si>
  <si>
    <t>computer</t>
  </si>
  <si>
    <t>Eman</t>
  </si>
  <si>
    <t>Science+english</t>
  </si>
  <si>
    <t>Usman</t>
  </si>
  <si>
    <t>amina</t>
  </si>
  <si>
    <t>Zummar fatima</t>
  </si>
  <si>
    <t>22/12/25</t>
  </si>
  <si>
    <t>mukarram</t>
  </si>
  <si>
    <t>english,science</t>
  </si>
  <si>
    <t>Islamic</t>
  </si>
  <si>
    <t>11th</t>
  </si>
  <si>
    <t>abdullah</t>
  </si>
  <si>
    <t xml:space="preserve">english </t>
  </si>
  <si>
    <t>12th</t>
  </si>
  <si>
    <t>awaais</t>
  </si>
  <si>
    <t>math</t>
  </si>
  <si>
    <t>saifullah</t>
  </si>
  <si>
    <t>eng,bio</t>
  </si>
  <si>
    <t>sanaullah</t>
  </si>
  <si>
    <t xml:space="preserve">che </t>
  </si>
  <si>
    <t>22th /1st Query</t>
  </si>
  <si>
    <t>aleena</t>
  </si>
  <si>
    <t>phcholoy</t>
  </si>
  <si>
    <t>Math</t>
  </si>
  <si>
    <t>sher ali</t>
  </si>
  <si>
    <t>bio</t>
  </si>
  <si>
    <t xml:space="preserve">umer </t>
  </si>
  <si>
    <t>physic</t>
  </si>
  <si>
    <t>hashir ali</t>
  </si>
  <si>
    <t xml:space="preserve">che,phy </t>
  </si>
  <si>
    <t>saim</t>
  </si>
  <si>
    <t>math,physic,chemistery</t>
  </si>
  <si>
    <t>phy,che,math</t>
  </si>
  <si>
    <t>Ubaid</t>
  </si>
  <si>
    <t>phy,math</t>
  </si>
  <si>
    <t xml:space="preserve">Umar </t>
  </si>
  <si>
    <t>phys,math,che</t>
  </si>
  <si>
    <t>half</t>
  </si>
  <si>
    <t>Mubaeen</t>
  </si>
  <si>
    <t>Phy,Che,Math</t>
  </si>
  <si>
    <t>3 sub</t>
  </si>
  <si>
    <t>A rafay</t>
  </si>
  <si>
    <t xml:space="preserve">Eng </t>
  </si>
  <si>
    <t>6th</t>
  </si>
  <si>
    <t>tayyab</t>
  </si>
  <si>
    <t>Science</t>
  </si>
  <si>
    <t>24/12/2024</t>
  </si>
  <si>
    <t>Faiz</t>
  </si>
  <si>
    <t xml:space="preserve">syed Mashab </t>
  </si>
  <si>
    <t>Bio</t>
  </si>
  <si>
    <t>15/1/2026</t>
  </si>
  <si>
    <t>Ashir</t>
  </si>
  <si>
    <t>Che,ph</t>
  </si>
  <si>
    <t>mustaq</t>
  </si>
  <si>
    <t>Che PHY</t>
  </si>
  <si>
    <t>waheed</t>
  </si>
  <si>
    <t>che</t>
  </si>
  <si>
    <t>Syed Mashab</t>
  </si>
  <si>
    <t>Phy, Chem</t>
  </si>
  <si>
    <t>+</t>
  </si>
  <si>
    <t>previos</t>
  </si>
  <si>
    <t>Che math,Maths</t>
  </si>
  <si>
    <t xml:space="preserve">Eman </t>
  </si>
  <si>
    <t>Sanaullah</t>
  </si>
  <si>
    <t>Sher ali</t>
  </si>
  <si>
    <t>Saim</t>
  </si>
  <si>
    <t>Amina</t>
  </si>
  <si>
    <t>Saifullah</t>
  </si>
  <si>
    <t>Saeem</t>
  </si>
  <si>
    <t>ALI</t>
  </si>
  <si>
    <t>Zain Ul Abbdein</t>
  </si>
  <si>
    <t>1+PRE(1300)</t>
  </si>
  <si>
    <t>Abdul rehman</t>
  </si>
  <si>
    <t>SC</t>
  </si>
  <si>
    <t>Abdul Mohiz (10th)</t>
  </si>
  <si>
    <t>Mahnoor</t>
  </si>
  <si>
    <t>Eman (11)</t>
  </si>
  <si>
    <t>Rayan</t>
  </si>
  <si>
    <t>KHUSHBAKHT</t>
  </si>
  <si>
    <t>PRE</t>
  </si>
  <si>
    <t xml:space="preserve">zain ul abdeen </t>
  </si>
  <si>
    <t>3 subject</t>
  </si>
  <si>
    <t>Yaseen</t>
  </si>
  <si>
    <t>1 subject</t>
  </si>
  <si>
    <t>M Umair</t>
  </si>
  <si>
    <t>9 th</t>
  </si>
  <si>
    <t>Abdul-Kalam</t>
  </si>
  <si>
    <t>UBAID ULLAH</t>
  </si>
  <si>
    <t>Abdul rafay</t>
  </si>
  <si>
    <t>Maida</t>
  </si>
  <si>
    <t>MAth</t>
  </si>
  <si>
    <t>Sumaiya</t>
  </si>
  <si>
    <t>Subject</t>
  </si>
  <si>
    <t>Fee Paid</t>
  </si>
  <si>
    <t>Remaining</t>
  </si>
  <si>
    <t>Teacher Share (70%)</t>
  </si>
  <si>
    <t>Academy Share (30%)</t>
  </si>
  <si>
    <t>Teacher Summary - Manahil</t>
  </si>
  <si>
    <t>payments given</t>
  </si>
  <si>
    <t>Total Fee Amount</t>
  </si>
  <si>
    <t>Total Fee Received</t>
  </si>
  <si>
    <t>Net Teacher Share</t>
  </si>
  <si>
    <t>Net Academy Share</t>
  </si>
  <si>
    <t>Total Amount (T + A)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</si>
  <si>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</si>
  <si>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Teacher Remaining</t>
  </si>
  <si>
    <t>Total</t>
  </si>
  <si>
    <t>Teacher Summary - Haleema</t>
  </si>
  <si>
    <t>pre</t>
  </si>
  <si>
    <t>Amna</t>
  </si>
  <si>
    <t>muqadas</t>
  </si>
  <si>
    <t>bs</t>
  </si>
  <si>
    <t>Mushtaba</t>
  </si>
  <si>
    <t>Maths(all)</t>
  </si>
  <si>
    <t>8th</t>
  </si>
  <si>
    <t>Tayyaba</t>
  </si>
  <si>
    <t>Teacher Summary - Tayyab</t>
  </si>
  <si>
    <t>Muqaddas</t>
  </si>
  <si>
    <t>BS</t>
  </si>
  <si>
    <t>MAths,ISl,isl(el),Sci</t>
  </si>
  <si>
    <t>10=11</t>
  </si>
  <si>
    <t>Math,Phy,Che</t>
  </si>
  <si>
    <t>Sci,Maths</t>
  </si>
  <si>
    <t>AbdulSamad</t>
  </si>
  <si>
    <t xml:space="preserve">MAth,Phy, </t>
  </si>
  <si>
    <t>Awais</t>
  </si>
  <si>
    <t>MAth,Urdu</t>
  </si>
  <si>
    <t>Sher Ali</t>
  </si>
  <si>
    <t>Math,phy,Che</t>
  </si>
  <si>
    <t>Tayyab</t>
  </si>
  <si>
    <t xml:space="preserve">MAths </t>
  </si>
  <si>
    <t>4th</t>
  </si>
  <si>
    <t>Math,sci</t>
  </si>
  <si>
    <t>7th</t>
  </si>
  <si>
    <t>abdul mohiz</t>
  </si>
  <si>
    <t>2nd year</t>
  </si>
  <si>
    <t>m shoib</t>
  </si>
  <si>
    <t>math,phy</t>
  </si>
  <si>
    <t>Barira</t>
  </si>
  <si>
    <t>Teacher Summary - Barira</t>
  </si>
  <si>
    <t xml:space="preserve">Abdul Samad </t>
  </si>
  <si>
    <t>eng/che</t>
  </si>
  <si>
    <t>yaseen</t>
  </si>
  <si>
    <t>isl/urdu</t>
  </si>
  <si>
    <t>isl/urdu/sci</t>
  </si>
  <si>
    <t>zumber</t>
  </si>
  <si>
    <t>eng 11th/eng10th/ur 11th/ps 10th/education</t>
  </si>
  <si>
    <t>10th/11th</t>
  </si>
  <si>
    <t xml:space="preserve">awais </t>
  </si>
  <si>
    <t>eng/sci</t>
  </si>
  <si>
    <t>mujtaba</t>
  </si>
  <si>
    <t>geography/eng</t>
  </si>
  <si>
    <t xml:space="preserve">10th </t>
  </si>
  <si>
    <t>areesha</t>
  </si>
  <si>
    <t>khyam</t>
  </si>
  <si>
    <t>eng/boi</t>
  </si>
  <si>
    <t>mam barira</t>
  </si>
  <si>
    <t>mam tayyba</t>
  </si>
  <si>
    <t>(blank)</t>
  </si>
  <si>
    <t>Row Labels</t>
  </si>
  <si>
    <t>Grand Total</t>
  </si>
  <si>
    <t xml:space="preserve">Zummar Fatima </t>
  </si>
  <si>
    <t>Math,Science,M,Q,Education</t>
  </si>
  <si>
    <t>Malik Bilawal</t>
  </si>
  <si>
    <t xml:space="preserve">Danish Khan </t>
  </si>
  <si>
    <t>Farhan Khan</t>
  </si>
  <si>
    <t>Math,Phy</t>
  </si>
  <si>
    <t>Isma Waqas</t>
  </si>
  <si>
    <t>M. Kashif</t>
  </si>
  <si>
    <t>Yaseen Zaifat</t>
  </si>
  <si>
    <t>Math,Science</t>
  </si>
  <si>
    <t>Tayyab Ziafat</t>
  </si>
  <si>
    <t>5th</t>
  </si>
  <si>
    <t>Khiyam</t>
  </si>
  <si>
    <t>Zubiar Shah</t>
  </si>
  <si>
    <t xml:space="preserve">Physics </t>
  </si>
  <si>
    <t>Ubaidullah Tariq</t>
  </si>
  <si>
    <t>Eng,P.k,Isla, Urdu</t>
  </si>
  <si>
    <t>Kashif Khan</t>
  </si>
  <si>
    <t>Chemistry</t>
  </si>
  <si>
    <t>Yaseen Ziafat</t>
  </si>
  <si>
    <t>His,Isl,Urdu</t>
  </si>
  <si>
    <t>Bio,Eng</t>
  </si>
  <si>
    <t xml:space="preserve">Eng,Che </t>
  </si>
  <si>
    <t>Che,Bio</t>
  </si>
  <si>
    <t>Abdul Samad</t>
  </si>
  <si>
    <t>phy,Math</t>
  </si>
  <si>
    <t>M.Waqas</t>
  </si>
  <si>
    <t>Eng,scien</t>
  </si>
  <si>
    <t>End Date</t>
  </si>
  <si>
    <t>Start Date</t>
  </si>
  <si>
    <t>Urdu,Maths</t>
  </si>
  <si>
    <t>Sufyan</t>
  </si>
  <si>
    <t>Ismail</t>
  </si>
  <si>
    <t>grammar</t>
  </si>
  <si>
    <t>English</t>
  </si>
  <si>
    <t>Phy,Math</t>
  </si>
  <si>
    <t>maqsood</t>
  </si>
  <si>
    <t xml:space="preserve">                                                                            </t>
  </si>
  <si>
    <t>Asim Ali</t>
  </si>
  <si>
    <t>ZUMMAR</t>
  </si>
  <si>
    <t>ABDULAH ZAKIR</t>
  </si>
  <si>
    <t>AHSAN ALI</t>
  </si>
  <si>
    <t>KHIYAM</t>
  </si>
  <si>
    <t>OBAID ULLAH</t>
  </si>
  <si>
    <t>ZAIBA</t>
  </si>
  <si>
    <t>DANISH</t>
  </si>
  <si>
    <t>Teacher Share (75%)</t>
  </si>
  <si>
    <t>Academy Share (25%)</t>
  </si>
  <si>
    <t>Teacher Summary - TayyabA</t>
  </si>
  <si>
    <t>Pay</t>
  </si>
  <si>
    <t>RIZWAN</t>
  </si>
  <si>
    <t>TAYYAB</t>
  </si>
  <si>
    <t>YASEEN</t>
  </si>
  <si>
    <t>WAQAS</t>
  </si>
  <si>
    <t>MATEEN</t>
  </si>
  <si>
    <t>QURAT UL AIN</t>
  </si>
  <si>
    <t>ZARA</t>
  </si>
  <si>
    <t>HASSAAN</t>
  </si>
  <si>
    <t>cHE</t>
  </si>
  <si>
    <t>9TH</t>
  </si>
  <si>
    <t>KASHIF</t>
  </si>
  <si>
    <t>FARHAN</t>
  </si>
  <si>
    <t>Phy,Maths</t>
  </si>
  <si>
    <t>HASSAN</t>
  </si>
  <si>
    <t>7TH</t>
  </si>
  <si>
    <t>mATHS</t>
  </si>
  <si>
    <t>ABDULLAH ZAKIR</t>
  </si>
  <si>
    <t>saliha</t>
  </si>
  <si>
    <t>FATIMA</t>
  </si>
  <si>
    <t>HABIBULLAH</t>
  </si>
  <si>
    <t>PHY</t>
  </si>
  <si>
    <t>HABULLAH</t>
  </si>
  <si>
    <t>CHE</t>
  </si>
  <si>
    <t>Teacher Summary - Fatima</t>
  </si>
  <si>
    <t>AJWA</t>
  </si>
  <si>
    <t>ISHFAQ</t>
  </si>
  <si>
    <t>MATH</t>
  </si>
  <si>
    <t>PREVIOUS</t>
  </si>
  <si>
    <r>
      <t xml:space="preserve">Tayyaba           </t>
    </r>
    <r>
      <rPr>
        <sz val="18"/>
        <color theme="8"/>
        <rFont val="Calibri"/>
        <family val="2"/>
        <scheme val="minor"/>
      </rPr>
      <t>(sep 2026)</t>
    </r>
  </si>
  <si>
    <t>SAAD ULLAH</t>
  </si>
  <si>
    <t xml:space="preserve">NAJM UL HASSAN </t>
  </si>
  <si>
    <t>IMRAN NAZIR</t>
  </si>
  <si>
    <t>(All)</t>
  </si>
  <si>
    <t>Math/Phy</t>
  </si>
  <si>
    <t>Math/Phy/Others</t>
  </si>
  <si>
    <t>Others</t>
  </si>
  <si>
    <t>Lower</t>
  </si>
  <si>
    <t>1st year</t>
  </si>
  <si>
    <t>Bio/Che</t>
  </si>
  <si>
    <t>Bio/Che/Eng</t>
  </si>
  <si>
    <t>DROP-DOWN</t>
  </si>
  <si>
    <t>WALEED</t>
  </si>
  <si>
    <t>MARYAM</t>
  </si>
  <si>
    <t>SALIHA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</si>
</sst>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64" formatCode="[$PKR]\ #,##0"/>
  </numFmts>
  <fonts count="4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theme="0"/>
      <name val="Arial Black"/>
      <family val="2"/>
    </font>
    <font>
      <sz val="9"/>
      <color theme="0"/>
      <name val="Arial Black"/>
      <family val="2"/>
    </font>
    <font>
      <sz val="9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8"/>
      <color theme="0"/>
      <name val="Arial Black"/>
      <family val="2"/>
    </font>
    <font>
      <sz val="8"/>
      <color theme="0"/>
      <name val="Arial Black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i/>
      <sz val="24"/>
      <color theme="8"/>
      <name val="Calibri"/>
      <family val="2"/>
      <scheme val="minor"/>
    </font>
    <font>
      <sz val="9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8"/>
      <name val="Calibri"/>
      <family val="2"/>
      <scheme val="minor"/>
    </font>
    <font>
      <b/>
      <i/>
      <sz val="36"/>
      <color theme="8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9">
    <xf numFmtId="0" fontId="0" fillId="0" borderId="0" xfId="0"/>
    <xf numFmtId="0" fontId="2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vertical="center"/>
    </xf>
    <xf numFmtId="0" fontId="4" fillId="0" borderId="0" xfId="0" applyFont="1"/>
    <xf numFmtId="0" fontId="3" fillId="5" borderId="0" xfId="0" applyFont="1" applyFill="1" applyAlignment="1">
      <alignment vertical="center"/>
    </xf>
    <xf numFmtId="0" fontId="5" fillId="4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6" fillId="2" borderId="2" xfId="1" applyFont="1" applyBorder="1" applyAlignment="1">
      <alignment horizontal="center"/>
    </xf>
    <xf numFmtId="0" fontId="4" fillId="6" borderId="2" xfId="0" applyFont="1" applyFill="1" applyBorder="1"/>
    <xf numFmtId="0" fontId="4" fillId="0" borderId="2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wrapText="1"/>
    </xf>
    <xf numFmtId="0" fontId="5" fillId="4" borderId="2" xfId="0" applyFont="1" applyFill="1" applyBorder="1"/>
    <xf numFmtId="164" fontId="5" fillId="4" borderId="2" xfId="0" applyNumberFormat="1" applyFont="1" applyFill="1" applyBorder="1"/>
    <xf numFmtId="0" fontId="2" fillId="0" borderId="7" xfId="0" applyFont="1" applyBorder="1" applyAlignment="1">
      <alignment horizontal="center"/>
    </xf>
    <xf numFmtId="0" fontId="5" fillId="4" borderId="8" xfId="0" applyFont="1" applyFill="1" applyBorder="1"/>
    <xf numFmtId="164" fontId="5" fillId="4" borderId="7" xfId="0" applyNumberFormat="1" applyFont="1" applyFill="1" applyBorder="1"/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vertical="center"/>
    </xf>
    <xf numFmtId="14" fontId="4" fillId="0" borderId="2" xfId="0" applyNumberFormat="1" applyFont="1" applyBorder="1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2" borderId="2" xfId="1" applyFont="1" applyBorder="1"/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8" xfId="0" applyFont="1" applyBorder="1"/>
    <xf numFmtId="0" fontId="4" fillId="0" borderId="7" xfId="0" applyFont="1" applyBorder="1"/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164" fontId="4" fillId="0" borderId="0" xfId="0" applyNumberFormat="1" applyFont="1"/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/>
    <xf numFmtId="164" fontId="5" fillId="4" borderId="10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5" borderId="0" xfId="0" applyFont="1" applyFill="1"/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2" borderId="9" xfId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3" borderId="12" xfId="0" applyFont="1" applyFill="1" applyBorder="1" applyAlignment="1">
      <alignment horizontal="center" vertical="center"/>
    </xf>
    <xf numFmtId="14" fontId="6" fillId="2" borderId="2" xfId="1" applyNumberFormat="1" applyFont="1" applyBorder="1"/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5" fillId="4" borderId="0" xfId="0" applyNumberFormat="1" applyFont="1" applyFill="1"/>
    <xf numFmtId="0" fontId="8" fillId="3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4" fillId="0" borderId="11" xfId="0" applyFont="1" applyBorder="1"/>
    <xf numFmtId="0" fontId="4" fillId="0" borderId="2" xfId="0" applyFont="1" applyBorder="1" applyAlignment="1">
      <alignment horizontal="right"/>
    </xf>
    <xf numFmtId="0" fontId="20" fillId="4" borderId="2" xfId="0" applyFont="1" applyFill="1" applyBorder="1" applyAlignment="1">
      <alignment horizontal="center"/>
    </xf>
    <xf numFmtId="0" fontId="21" fillId="0" borderId="2" xfId="0" applyFont="1" applyBorder="1"/>
    <xf numFmtId="0" fontId="5" fillId="5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1" fillId="4" borderId="2" xfId="0" applyFont="1" applyFill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0" fontId="23" fillId="2" borderId="2" xfId="1" applyFont="1" applyBorder="1" applyAlignment="1">
      <alignment horizontal="center"/>
    </xf>
    <xf numFmtId="0" fontId="21" fillId="0" borderId="2" xfId="0" applyFont="1" applyBorder="1" applyAlignment="1">
      <alignment horizontal="left" vertical="top"/>
    </xf>
    <xf numFmtId="0" fontId="22" fillId="0" borderId="2" xfId="0" applyFont="1" applyBorder="1" applyAlignment="1">
      <alignment horizontal="left"/>
    </xf>
    <xf numFmtId="0" fontId="21" fillId="0" borderId="2" xfId="0" applyFont="1" applyBorder="1" applyAlignment="1">
      <alignment horizontal="center"/>
    </xf>
    <xf numFmtId="0" fontId="21" fillId="0" borderId="0" xfId="0" applyFont="1"/>
    <xf numFmtId="0" fontId="21" fillId="0" borderId="2" xfId="0" applyFont="1" applyBorder="1" applyAlignment="1">
      <alignment horizontal="left"/>
    </xf>
    <xf numFmtId="14" fontId="21" fillId="0" borderId="2" xfId="0" applyNumberFormat="1" applyFont="1" applyBorder="1" applyAlignment="1">
      <alignment horizontal="center"/>
    </xf>
    <xf numFmtId="0" fontId="20" fillId="4" borderId="2" xfId="0" applyFont="1" applyFill="1" applyBorder="1"/>
    <xf numFmtId="164" fontId="20" fillId="4" borderId="2" xfId="0" applyNumberFormat="1" applyFont="1" applyFill="1" applyBorder="1"/>
    <xf numFmtId="14" fontId="21" fillId="0" borderId="2" xfId="0" applyNumberFormat="1" applyFont="1" applyBorder="1"/>
    <xf numFmtId="0" fontId="22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6" borderId="2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21" fillId="4" borderId="2" xfId="0" applyFont="1" applyFill="1" applyBorder="1" applyAlignment="1">
      <alignment horizontal="left" vertical="top"/>
    </xf>
    <xf numFmtId="0" fontId="21" fillId="0" borderId="8" xfId="0" applyFont="1" applyBorder="1"/>
    <xf numFmtId="0" fontId="4" fillId="0" borderId="3" xfId="0" applyFont="1" applyBorder="1"/>
    <xf numFmtId="0" fontId="21" fillId="5" borderId="2" xfId="0" applyFont="1" applyFill="1" applyBorder="1"/>
    <xf numFmtId="0" fontId="21" fillId="4" borderId="8" xfId="0" applyFont="1" applyFill="1" applyBorder="1"/>
    <xf numFmtId="0" fontId="21" fillId="4" borderId="2" xfId="0" applyFont="1" applyFill="1" applyBorder="1"/>
    <xf numFmtId="0" fontId="21" fillId="0" borderId="7" xfId="0" applyFont="1" applyBorder="1"/>
    <xf numFmtId="0" fontId="4" fillId="5" borderId="2" xfId="0" applyFont="1" applyFill="1" applyBorder="1" applyAlignment="1">
      <alignment horizontal="left" vertical="top"/>
    </xf>
    <xf numFmtId="0" fontId="21" fillId="0" borderId="2" xfId="0" applyFont="1" applyBorder="1" applyAlignment="1">
      <alignment horizontal="right" vertical="center"/>
    </xf>
    <xf numFmtId="0" fontId="26" fillId="4" borderId="2" xfId="0" applyFont="1" applyFill="1" applyBorder="1" applyAlignment="1">
      <alignment horizontal="center"/>
    </xf>
    <xf numFmtId="0" fontId="27" fillId="0" borderId="2" xfId="0" applyFont="1" applyBorder="1" applyAlignment="1">
      <alignment horizontal="left" vertical="top"/>
    </xf>
    <xf numFmtId="0" fontId="28" fillId="2" borderId="2" xfId="1" applyFont="1" applyBorder="1"/>
    <xf numFmtId="0" fontId="27" fillId="0" borderId="2" xfId="0" applyFont="1" applyBorder="1"/>
    <xf numFmtId="14" fontId="27" fillId="0" borderId="2" xfId="0" applyNumberFormat="1" applyFont="1" applyBorder="1"/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left"/>
    </xf>
    <xf numFmtId="0" fontId="27" fillId="0" borderId="2" xfId="0" applyFont="1" applyBorder="1" applyAlignment="1">
      <alignment horizontal="right" vertical="center"/>
    </xf>
    <xf numFmtId="0" fontId="27" fillId="5" borderId="2" xfId="0" applyFont="1" applyFill="1" applyBorder="1"/>
    <xf numFmtId="0" fontId="21" fillId="5" borderId="2" xfId="0" applyFont="1" applyFill="1" applyBorder="1" applyAlignment="1">
      <alignment horizontal="left" vertical="center"/>
    </xf>
    <xf numFmtId="0" fontId="21" fillId="0" borderId="2" xfId="0" applyFont="1" applyBorder="1" applyAlignment="1">
      <alignment horizontal="right"/>
    </xf>
    <xf numFmtId="0" fontId="27" fillId="4" borderId="2" xfId="0" applyFont="1" applyFill="1" applyBorder="1"/>
    <xf numFmtId="0" fontId="1" fillId="2" borderId="2" xfId="1" applyBorder="1"/>
    <xf numFmtId="0" fontId="21" fillId="7" borderId="2" xfId="0" applyFont="1" applyFill="1" applyBorder="1"/>
    <xf numFmtId="14" fontId="21" fillId="7" borderId="2" xfId="0" applyNumberFormat="1" applyFont="1" applyFill="1" applyBorder="1" applyAlignment="1">
      <alignment horizontal="center" vertical="center"/>
    </xf>
    <xf numFmtId="14" fontId="1" fillId="2" borderId="2" xfId="1" applyNumberFormat="1" applyBorder="1" applyAlignment="1">
      <alignment horizontal="center" vertical="center"/>
    </xf>
    <xf numFmtId="0" fontId="1" fillId="2" borderId="2" xfId="1" applyBorder="1" applyAlignment="1">
      <alignment horizontal="center"/>
    </xf>
    <xf numFmtId="0" fontId="21" fillId="0" borderId="7" xfId="0" applyFont="1" applyBorder="1" applyAlignment="1">
      <alignment vertical="center"/>
    </xf>
    <xf numFmtId="0" fontId="5" fillId="5" borderId="8" xfId="0" applyFont="1" applyFill="1" applyBorder="1" applyAlignment="1">
      <alignment horizontal="center"/>
    </xf>
    <xf numFmtId="0" fontId="22" fillId="8" borderId="2" xfId="0" applyFont="1" applyFill="1" applyBorder="1" applyAlignment="1">
      <alignment horizontal="center"/>
    </xf>
    <xf numFmtId="0" fontId="21" fillId="8" borderId="2" xfId="0" applyFont="1" applyFill="1" applyBorder="1"/>
    <xf numFmtId="14" fontId="21" fillId="8" borderId="2" xfId="0" applyNumberFormat="1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16" fontId="0" fillId="0" borderId="2" xfId="0" applyNumberFormat="1" applyBorder="1"/>
    <xf numFmtId="3" fontId="0" fillId="0" borderId="2" xfId="0" applyNumberFormat="1" applyBorder="1"/>
    <xf numFmtId="0" fontId="29" fillId="11" borderId="2" xfId="0" applyFont="1" applyFill="1" applyBorder="1"/>
    <xf numFmtId="0" fontId="13" fillId="5" borderId="2" xfId="0" applyFont="1" applyFill="1" applyBorder="1" applyAlignment="1">
      <alignment horizontal="left"/>
    </xf>
    <xf numFmtId="0" fontId="31" fillId="5" borderId="2" xfId="0" applyFont="1" applyFill="1" applyBorder="1"/>
    <xf numFmtId="14" fontId="31" fillId="5" borderId="2" xfId="0" applyNumberFormat="1" applyFont="1" applyFill="1" applyBorder="1"/>
    <xf numFmtId="3" fontId="31" fillId="5" borderId="2" xfId="0" applyNumberFormat="1" applyFont="1" applyFill="1" applyBorder="1"/>
    <xf numFmtId="0" fontId="13" fillId="5" borderId="2" xfId="0" applyFont="1" applyFill="1" applyBorder="1" applyAlignment="1">
      <alignment horizontal="right"/>
    </xf>
    <xf numFmtId="0" fontId="32" fillId="5" borderId="2" xfId="1" applyFont="1" applyFill="1" applyBorder="1"/>
    <xf numFmtId="0" fontId="13" fillId="5" borderId="2" xfId="0" applyFont="1" applyFill="1" applyBorder="1"/>
    <xf numFmtId="0" fontId="29" fillId="10" borderId="0" xfId="0" applyFont="1" applyFill="1"/>
    <xf numFmtId="3" fontId="0" fillId="0" borderId="0" xfId="0" applyNumberFormat="1"/>
    <xf numFmtId="0" fontId="0" fillId="0" borderId="0" xfId="0" applyAlignment="1">
      <alignment horizontal="center" vertical="center"/>
    </xf>
    <xf numFmtId="0" fontId="4" fillId="12" borderId="2" xfId="0" applyFont="1" applyFill="1" applyBorder="1"/>
    <xf numFmtId="3" fontId="31" fillId="5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4" fillId="5" borderId="2" xfId="0" applyFont="1" applyFill="1" applyBorder="1" applyAlignment="1">
      <alignment horizontal="left"/>
    </xf>
    <xf numFmtId="0" fontId="34" fillId="5" borderId="2" xfId="1" applyFont="1" applyFill="1" applyBorder="1"/>
    <xf numFmtId="0" fontId="34" fillId="5" borderId="2" xfId="0" applyFont="1" applyFill="1" applyBorder="1"/>
    <xf numFmtId="0" fontId="0" fillId="0" borderId="8" xfId="0" applyBorder="1" applyAlignment="1">
      <alignment horizontal="center" vertical="center"/>
    </xf>
    <xf numFmtId="3" fontId="31" fillId="5" borderId="7" xfId="0" applyNumberFormat="1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0" fillId="9" borderId="10" xfId="0" applyFont="1" applyFill="1" applyBorder="1"/>
    <xf numFmtId="0" fontId="30" fillId="9" borderId="10" xfId="0" applyFont="1" applyFill="1" applyBorder="1" applyAlignment="1">
      <alignment horizontal="center" vertical="center"/>
    </xf>
    <xf numFmtId="0" fontId="30" fillId="9" borderId="5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34" fillId="5" borderId="9" xfId="0" applyFont="1" applyFill="1" applyBorder="1"/>
    <xf numFmtId="0" fontId="13" fillId="5" borderId="9" xfId="0" applyFont="1" applyFill="1" applyBorder="1"/>
    <xf numFmtId="14" fontId="31" fillId="5" borderId="9" xfId="0" applyNumberFormat="1" applyFont="1" applyFill="1" applyBorder="1"/>
    <xf numFmtId="3" fontId="31" fillId="5" borderId="9" xfId="0" applyNumberFormat="1" applyFont="1" applyFill="1" applyBorder="1" applyAlignment="1">
      <alignment horizontal="center" vertical="center"/>
    </xf>
    <xf numFmtId="3" fontId="31" fillId="5" borderId="3" xfId="0" applyNumberFormat="1" applyFon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4" fillId="0" borderId="9" xfId="0" applyFont="1" applyBorder="1"/>
    <xf numFmtId="14" fontId="0" fillId="0" borderId="9" xfId="0" applyNumberFormat="1" applyBorder="1"/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34" fillId="4" borderId="2" xfId="0" applyFont="1" applyFill="1" applyBorder="1"/>
    <xf numFmtId="0" fontId="31" fillId="5" borderId="9" xfId="0" applyFont="1" applyFill="1" applyBorder="1"/>
    <xf numFmtId="0" fontId="28" fillId="2" borderId="9" xfId="1" applyFont="1" applyBorder="1"/>
    <xf numFmtId="3" fontId="31" fillId="5" borderId="9" xfId="0" applyNumberFormat="1" applyFont="1" applyFill="1" applyBorder="1"/>
    <xf numFmtId="0" fontId="34" fillId="8" borderId="2" xfId="0" applyFont="1" applyFill="1" applyBorder="1" applyAlignment="1">
      <alignment horizontal="left"/>
    </xf>
    <xf numFmtId="0" fontId="13" fillId="8" borderId="2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30" fillId="9" borderId="5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1" fillId="0" borderId="8" xfId="0" applyFont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29" fillId="10" borderId="2" xfId="0" applyFont="1" applyFill="1" applyBorder="1"/>
    <xf numFmtId="0" fontId="28" fillId="2" borderId="18" xfId="1" applyFont="1" applyBorder="1"/>
    <xf numFmtId="0" fontId="0" fillId="14" borderId="8" xfId="0" applyFill="1" applyBorder="1" applyAlignment="1">
      <alignment horizontal="center" vertical="center"/>
    </xf>
    <xf numFmtId="0" fontId="13" fillId="14" borderId="2" xfId="0" applyFont="1" applyFill="1" applyBorder="1" applyAlignment="1">
      <alignment horizontal="left"/>
    </xf>
    <xf numFmtId="0" fontId="31" fillId="14" borderId="2" xfId="0" applyFont="1" applyFill="1" applyBorder="1"/>
    <xf numFmtId="14" fontId="31" fillId="14" borderId="2" xfId="0" applyNumberFormat="1" applyFont="1" applyFill="1" applyBorder="1"/>
    <xf numFmtId="14" fontId="31" fillId="14" borderId="10" xfId="0" applyNumberFormat="1" applyFont="1" applyFill="1" applyBorder="1"/>
    <xf numFmtId="0" fontId="13" fillId="14" borderId="2" xfId="0" applyFont="1" applyFill="1" applyBorder="1" applyAlignment="1">
      <alignment horizontal="right"/>
    </xf>
    <xf numFmtId="0" fontId="28" fillId="14" borderId="10" xfId="1" applyFont="1" applyFill="1" applyBorder="1"/>
    <xf numFmtId="3" fontId="31" fillId="14" borderId="2" xfId="0" applyNumberFormat="1" applyFont="1" applyFill="1" applyBorder="1"/>
    <xf numFmtId="3" fontId="31" fillId="14" borderId="2" xfId="0" applyNumberFormat="1" applyFont="1" applyFill="1" applyBorder="1" applyAlignment="1">
      <alignment horizontal="center" vertical="center"/>
    </xf>
    <xf numFmtId="3" fontId="31" fillId="14" borderId="7" xfId="0" applyNumberFormat="1" applyFont="1" applyFill="1" applyBorder="1" applyAlignment="1">
      <alignment horizontal="center" vertical="center"/>
    </xf>
    <xf numFmtId="0" fontId="4" fillId="13" borderId="2" xfId="0" applyFont="1" applyFill="1" applyBorder="1"/>
    <xf numFmtId="0" fontId="4" fillId="0" borderId="18" xfId="0" applyFont="1" applyBorder="1"/>
    <xf numFmtId="0" fontId="4" fillId="13" borderId="18" xfId="0" applyFont="1" applyFill="1" applyBorder="1"/>
    <xf numFmtId="0" fontId="34" fillId="5" borderId="0" xfId="0" applyFont="1" applyFill="1"/>
    <xf numFmtId="0" fontId="31" fillId="5" borderId="0" xfId="0" applyFont="1" applyFill="1"/>
    <xf numFmtId="14" fontId="31" fillId="5" borderId="0" xfId="0" applyNumberFormat="1" applyFont="1" applyFill="1"/>
    <xf numFmtId="3" fontId="31" fillId="5" borderId="0" xfId="0" applyNumberFormat="1" applyFont="1" applyFill="1"/>
    <xf numFmtId="3" fontId="31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28" fillId="5" borderId="0" xfId="1" applyFont="1" applyFill="1" applyBorder="1"/>
    <xf numFmtId="3" fontId="0" fillId="5" borderId="0" xfId="0" applyNumberFormat="1" applyFill="1"/>
    <xf numFmtId="16" fontId="0" fillId="5" borderId="2" xfId="0" applyNumberFormat="1" applyFill="1" applyBorder="1"/>
    <xf numFmtId="0" fontId="28" fillId="5" borderId="18" xfId="1" applyFont="1" applyFill="1" applyBorder="1"/>
    <xf numFmtId="16" fontId="0" fillId="0" borderId="0" xfId="0" applyNumberFormat="1"/>
    <xf numFmtId="0" fontId="0" fillId="5" borderId="2" xfId="0" applyFill="1" applyBorder="1"/>
    <xf numFmtId="16" fontId="29" fillId="10" borderId="2" xfId="0" applyNumberFormat="1" applyFont="1" applyFill="1" applyBorder="1"/>
    <xf numFmtId="0" fontId="0" fillId="4" borderId="8" xfId="0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1" fillId="5" borderId="4" xfId="0" applyFont="1" applyFill="1" applyBorder="1" applyAlignment="1">
      <alignment horizontal="left" vertical="center"/>
    </xf>
    <xf numFmtId="14" fontId="31" fillId="5" borderId="4" xfId="0" applyNumberFormat="1" applyFont="1" applyFill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0" fontId="36" fillId="4" borderId="8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34" fillId="5" borderId="8" xfId="0" applyFont="1" applyFill="1" applyBorder="1" applyAlignment="1">
      <alignment horizontal="left" vertical="center"/>
    </xf>
    <xf numFmtId="0" fontId="31" fillId="5" borderId="8" xfId="0" applyFont="1" applyFill="1" applyBorder="1" applyAlignment="1">
      <alignment horizontal="left" vertical="center"/>
    </xf>
    <xf numFmtId="14" fontId="31" fillId="5" borderId="8" xfId="0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4" fillId="5" borderId="4" xfId="0" applyFont="1" applyFill="1" applyBorder="1" applyAlignment="1">
      <alignment horizontal="left" vertical="center"/>
    </xf>
    <xf numFmtId="44" fontId="0" fillId="0" borderId="2" xfId="0" applyNumberFormat="1" applyBorder="1"/>
    <xf numFmtId="0" fontId="0" fillId="0" borderId="0" xfId="0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left" vertical="center"/>
    </xf>
    <xf numFmtId="14" fontId="31" fillId="5" borderId="0" xfId="0" applyNumberFormat="1" applyFont="1" applyFill="1" applyAlignment="1">
      <alignment horizontal="left" vertical="center"/>
    </xf>
    <xf numFmtId="0" fontId="33" fillId="0" borderId="0" xfId="0" applyFont="1" applyAlignment="1">
      <alignment horizontal="center"/>
    </xf>
    <xf numFmtId="0" fontId="28" fillId="2" borderId="0" xfId="1" applyFont="1" applyBorder="1"/>
    <xf numFmtId="0" fontId="29" fillId="11" borderId="0" xfId="0" applyFont="1" applyFill="1"/>
    <xf numFmtId="3" fontId="29" fillId="0" borderId="2" xfId="0" applyNumberFormat="1" applyFont="1" applyBorder="1"/>
    <xf numFmtId="0" fontId="9" fillId="5" borderId="0" xfId="0" applyFont="1" applyFill="1" applyAlignment="1">
      <alignment horizontal="left" vertical="center"/>
    </xf>
    <xf numFmtId="44" fontId="29" fillId="0" borderId="2" xfId="0" applyNumberFormat="1" applyFont="1" applyBorder="1"/>
    <xf numFmtId="0" fontId="39" fillId="9" borderId="6" xfId="0" applyFont="1" applyFill="1" applyBorder="1" applyAlignment="1">
      <alignment horizontal="center" vertical="center"/>
    </xf>
    <xf numFmtId="0" fontId="39" fillId="9" borderId="10" xfId="0" applyFont="1" applyFill="1" applyBorder="1"/>
    <xf numFmtId="0" fontId="39" fillId="9" borderId="10" xfId="0" applyFont="1" applyFill="1" applyBorder="1" applyAlignment="1">
      <alignment horizontal="center" vertical="center"/>
    </xf>
    <xf numFmtId="0" fontId="39" fillId="9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3" fontId="34" fillId="5" borderId="2" xfId="0" applyNumberFormat="1" applyFont="1" applyFill="1" applyBorder="1"/>
    <xf numFmtId="3" fontId="34" fillId="5" borderId="2" xfId="0" applyNumberFormat="1" applyFont="1" applyFill="1" applyBorder="1" applyAlignment="1">
      <alignment horizontal="center" vertical="center"/>
    </xf>
    <xf numFmtId="3" fontId="34" fillId="5" borderId="7" xfId="0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34" fillId="5" borderId="9" xfId="0" applyNumberFormat="1" applyFont="1" applyFill="1" applyBorder="1"/>
    <xf numFmtId="3" fontId="4" fillId="0" borderId="2" xfId="0" applyNumberFormat="1" applyFont="1" applyBorder="1"/>
    <xf numFmtId="3" fontId="4" fillId="0" borderId="7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3" fontId="4" fillId="0" borderId="9" xfId="0" applyNumberFormat="1" applyFont="1" applyBorder="1"/>
    <xf numFmtId="0" fontId="2" fillId="10" borderId="2" xfId="0" applyFont="1" applyFill="1" applyBorder="1"/>
    <xf numFmtId="0" fontId="2" fillId="11" borderId="2" xfId="0" applyFont="1" applyFill="1" applyBorder="1"/>
    <xf numFmtId="3" fontId="4" fillId="0" borderId="0" xfId="0" applyNumberFormat="1" applyFont="1"/>
    <xf numFmtId="16" fontId="4" fillId="0" borderId="2" xfId="0" applyNumberFormat="1" applyFont="1" applyBorder="1"/>
    <xf numFmtId="44" fontId="4" fillId="0" borderId="2" xfId="0" applyNumberFormat="1" applyFont="1" applyBorder="1"/>
    <xf numFmtId="0" fontId="4" fillId="0" borderId="16" xfId="0" applyFont="1" applyBorder="1"/>
    <xf numFmtId="44" fontId="2" fillId="0" borderId="2" xfId="0" applyNumberFormat="1" applyFont="1" applyBorder="1"/>
    <xf numFmtId="0" fontId="4" fillId="0" borderId="17" xfId="0" applyFont="1" applyBorder="1"/>
    <xf numFmtId="0" fontId="2" fillId="10" borderId="2" xfId="0" applyFont="1" applyFill="1" applyBorder="1"/>
    <xf numFmtId="17" fontId="33" fillId="0" borderId="27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7" fontId="33" fillId="0" borderId="28" xfId="0" applyNumberFormat="1" applyFont="1" applyBorder="1" applyAlignment="1">
      <alignment horizontal="center" vertical="center"/>
    </xf>
    <xf numFmtId="17" fontId="33" fillId="0" borderId="29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/>
    </xf>
    <xf numFmtId="0" fontId="38" fillId="0" borderId="20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8" fillId="0" borderId="25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26" xfId="0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0" fontId="38" fillId="0" borderId="23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center"/>
    </xf>
    <xf numFmtId="164" fontId="20" fillId="4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164" fontId="20" fillId="4" borderId="3" xfId="0" applyNumberFormat="1" applyFont="1" applyFill="1" applyBorder="1" applyAlignment="1">
      <alignment horizontal="center" vertical="center"/>
    </xf>
    <xf numFmtId="164" fontId="20" fillId="4" borderId="4" xfId="0" applyNumberFormat="1" applyFont="1" applyFill="1" applyBorder="1" applyAlignment="1">
      <alignment horizontal="center" vertical="center"/>
    </xf>
    <xf numFmtId="164" fontId="20" fillId="4" borderId="5" xfId="0" applyNumberFormat="1" applyFont="1" applyFill="1" applyBorder="1" applyAlignment="1">
      <alignment horizontal="center" vertical="center"/>
    </xf>
    <xf numFmtId="164" fontId="20" fillId="4" borderId="6" xfId="0" applyNumberFormat="1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164" fontId="16" fillId="4" borderId="7" xfId="0" applyNumberFormat="1" applyFont="1" applyFill="1" applyBorder="1" applyAlignment="1">
      <alignment horizontal="center" vertical="center"/>
    </xf>
    <xf numFmtId="164" fontId="16" fillId="4" borderId="8" xfId="0" applyNumberFormat="1" applyFont="1" applyFill="1" applyBorder="1" applyAlignment="1">
      <alignment horizontal="center" vertical="center"/>
    </xf>
    <xf numFmtId="164" fontId="15" fillId="4" borderId="7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64" fontId="16" fillId="4" borderId="3" xfId="0" applyNumberFormat="1" applyFont="1" applyFill="1" applyBorder="1" applyAlignment="1">
      <alignment horizontal="center" vertical="center"/>
    </xf>
    <xf numFmtId="164" fontId="16" fillId="4" borderId="4" xfId="0" applyNumberFormat="1" applyFont="1" applyFill="1" applyBorder="1" applyAlignment="1">
      <alignment horizontal="center" vertical="center"/>
    </xf>
    <xf numFmtId="164" fontId="16" fillId="4" borderId="5" xfId="0" applyNumberFormat="1" applyFont="1" applyFill="1" applyBorder="1" applyAlignment="1">
      <alignment horizontal="center" vertical="center"/>
    </xf>
    <xf numFmtId="164" fontId="16" fillId="4" borderId="6" xfId="0" applyNumberFormat="1" applyFont="1" applyFill="1" applyBorder="1" applyAlignment="1">
      <alignment horizontal="center" vertical="center"/>
    </xf>
    <xf numFmtId="164" fontId="15" fillId="4" borderId="2" xfId="0" applyNumberFormat="1" applyFont="1" applyFill="1" applyBorder="1" applyAlignment="1">
      <alignment horizontal="center" vertical="center"/>
    </xf>
    <xf numFmtId="164" fontId="16" fillId="4" borderId="2" xfId="0" applyNumberFormat="1" applyFont="1" applyFill="1" applyBorder="1" applyAlignment="1">
      <alignment horizontal="center" vertical="center"/>
    </xf>
    <xf numFmtId="164" fontId="14" fillId="4" borderId="2" xfId="0" applyNumberFormat="1" applyFont="1" applyFill="1" applyBorder="1" applyAlignment="1">
      <alignment horizontal="center" vertical="center"/>
    </xf>
    <xf numFmtId="164" fontId="18" fillId="4" borderId="2" xfId="0" applyNumberFormat="1" applyFont="1" applyFill="1" applyBorder="1" applyAlignment="1">
      <alignment horizontal="center" vertical="center"/>
    </xf>
    <xf numFmtId="164" fontId="17" fillId="4" borderId="2" xfId="0" applyNumberFormat="1" applyFont="1" applyFill="1" applyBorder="1" applyAlignment="1">
      <alignment horizontal="center" vertical="center"/>
    </xf>
    <xf numFmtId="164" fontId="17" fillId="4" borderId="7" xfId="0" applyNumberFormat="1" applyFont="1" applyFill="1" applyBorder="1" applyAlignment="1">
      <alignment horizontal="center" vertical="center"/>
    </xf>
    <xf numFmtId="164" fontId="19" fillId="4" borderId="3" xfId="0" applyNumberFormat="1" applyFont="1" applyFill="1" applyBorder="1" applyAlignment="1">
      <alignment horizontal="center" vertical="center"/>
    </xf>
    <xf numFmtId="164" fontId="19" fillId="4" borderId="4" xfId="0" applyNumberFormat="1" applyFont="1" applyFill="1" applyBorder="1" applyAlignment="1">
      <alignment horizontal="center" vertical="center"/>
    </xf>
    <xf numFmtId="164" fontId="19" fillId="4" borderId="5" xfId="0" applyNumberFormat="1" applyFont="1" applyFill="1" applyBorder="1" applyAlignment="1">
      <alignment horizontal="center" vertical="center"/>
    </xf>
    <xf numFmtId="164" fontId="19" fillId="4" borderId="6" xfId="0" applyNumberFormat="1" applyFont="1" applyFill="1" applyBorder="1" applyAlignment="1">
      <alignment horizontal="center" vertical="center"/>
    </xf>
    <xf numFmtId="164" fontId="18" fillId="4" borderId="7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28" fillId="2" borderId="7" xfId="1" applyFont="1" applyBorder="1" applyAlignment="1">
      <alignment horizontal="center"/>
    </xf>
    <xf numFmtId="0" fontId="28" fillId="2" borderId="15" xfId="1" applyFont="1" applyBorder="1" applyAlignment="1">
      <alignment horizontal="center"/>
    </xf>
    <xf numFmtId="0" fontId="28" fillId="2" borderId="8" xfId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10" fillId="5" borderId="14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29" fillId="10" borderId="2" xfId="0" applyFont="1" applyFill="1" applyBorder="1"/>
    <xf numFmtId="0" fontId="33" fillId="0" borderId="19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33" fillId="0" borderId="24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245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 val="0"/>
        <i/>
        <color rgb="FF7030A0"/>
      </font>
      <fill>
        <patternFill>
          <bgColor rgb="FFFF99CC"/>
        </patternFill>
      </fill>
      <border>
        <vertical/>
        <horizontal/>
      </border>
    </dxf>
    <dxf>
      <font>
        <b/>
        <i val="0"/>
        <strike val="0"/>
      </font>
      <fill>
        <patternFill>
          <bgColor theme="9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61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I ATD" refreshedDate="46161.642740625" createdVersion="8" refreshedVersion="8" minRefreshableVersion="3" recordCount="5" xr:uid="{50953A4E-7780-4CFF-A44D-227B5E7B1B3B}">
  <cacheSource type="worksheet">
    <worksheetSource name="Table1"/>
  </cacheSource>
  <cacheFields count="10">
    <cacheField name="S.No" numFmtId="0">
      <sharedItems containsSemiMixedTypes="0" containsString="0" containsNumber="1" containsInteger="1" minValue="1" maxValue="5"/>
    </cacheField>
    <cacheField name="Name" numFmtId="0">
      <sharedItems count="5">
        <s v="Amina"/>
        <s v="Abdul Mohiz (10th)"/>
        <s v="Eman (11)"/>
        <s v="Zummar"/>
        <s v="sher ali"/>
      </sharedItems>
    </cacheField>
    <cacheField name="Subject" numFmtId="0">
      <sharedItems containsBlank="1" containsMixedTypes="1" containsNumber="1" containsInteger="1" minValue="1" maxValue="3" count="4">
        <s v="1+PRE(1300)"/>
        <n v="1"/>
        <m/>
        <n v="3"/>
      </sharedItems>
    </cacheField>
    <cacheField name="Class" numFmtId="0">
      <sharedItems/>
    </cacheField>
    <cacheField name="Date" numFmtId="14">
      <sharedItems containsSemiMixedTypes="0" containsNonDate="0" containsDate="1" containsString="0" minDate="2026-05-01T00:00:00" maxDate="2026-05-02T00:00:00"/>
    </cacheField>
    <cacheField name="Total Fee" numFmtId="0">
      <sharedItems containsSemiMixedTypes="0" containsString="0" containsNumber="1" containsInteger="1" minValue="1000" maxValue="3900"/>
    </cacheField>
    <cacheField name="Fee Paid" numFmtId="0">
      <sharedItems containsString="0" containsBlank="1" containsNumber="1" containsInteger="1" minValue="1300" maxValue="2250" count="3">
        <n v="1300"/>
        <m/>
        <n v="2250"/>
      </sharedItems>
    </cacheField>
    <cacheField name="Remaining" numFmtId="3">
      <sharedItems containsSemiMixedTypes="0" containsString="0" containsNumber="1" containsInteger="1" minValue="0" maxValue="2600"/>
    </cacheField>
    <cacheField name="Teacher Share (70%)" numFmtId="3">
      <sharedItems containsSemiMixedTypes="0" containsString="0" containsNumber="1" containsInteger="1" minValue="0" maxValue="1575"/>
    </cacheField>
    <cacheField name="Academy Share (30%)" numFmtId="3">
      <sharedItems containsSemiMixedTypes="0" containsString="0" containsNumber="1" containsInteger="1" minValue="0" maxValue="67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I ATD" refreshedDate="46304.671296990738" createdVersion="8" refreshedVersion="8" minRefreshableVersion="3" recordCount="11" xr:uid="{9865AFF8-547B-4A85-BC32-DCC11A62F7F5}">
  <cacheSource type="worksheet">
    <worksheetSource name="Table14"/>
  </cacheSource>
  <cacheFields count="10">
    <cacheField name="S.No" numFmtId="0">
      <sharedItems containsSemiMixedTypes="0" containsString="0" containsNumber="1" containsInteger="1" minValue="1" maxValue="12"/>
    </cacheField>
    <cacheField name="Name" numFmtId="0">
      <sharedItems count="11">
        <s v="Muqaddas"/>
        <s v="Zummar"/>
        <s v="Mohiz"/>
        <s v="Bilawal"/>
        <s v="AbdulSamad"/>
        <s v="Awais"/>
        <s v="Sher Ali"/>
        <s v="Tayyab"/>
        <s v="Yaseen"/>
        <s v="abdul mohiz"/>
        <s v="m shoib"/>
      </sharedItems>
    </cacheField>
    <cacheField name="Subject" numFmtId="0">
      <sharedItems/>
    </cacheField>
    <cacheField name="Class" numFmtId="0">
      <sharedItems containsBlank="1"/>
    </cacheField>
    <cacheField name="Date" numFmtId="14">
      <sharedItems containsNonDate="0" containsDate="1" containsString="0" containsBlank="1" minDate="2026-06-01T00:00:00" maxDate="2026-06-02T00:00:00"/>
    </cacheField>
    <cacheField name="Total Fee" numFmtId="0">
      <sharedItems containsSemiMixedTypes="0" containsString="0" containsNumber="1" containsInteger="1" minValue="0" maxValue="3200"/>
    </cacheField>
    <cacheField name="Fee Paid" numFmtId="0">
      <sharedItems containsSemiMixedTypes="0" containsString="0" containsNumber="1" containsInteger="1" minValue="0" maxValue="2300" count="6">
        <n v="0"/>
        <n v="2300"/>
        <n v="2000"/>
        <n v="2100"/>
        <n v="700"/>
        <n v="500"/>
      </sharedItems>
    </cacheField>
    <cacheField name="Remaining" numFmtId="3">
      <sharedItems containsSemiMixedTypes="0" containsString="0" containsNumber="1" containsInteger="1" minValue="0" maxValue="900"/>
    </cacheField>
    <cacheField name="Teacher Share (70%)" numFmtId="3">
      <sharedItems containsSemiMixedTypes="0" containsString="0" containsNumber="1" containsInteger="1" minValue="0" maxValue="1610"/>
    </cacheField>
    <cacheField name="Academy Share (30%)" numFmtId="3">
      <sharedItems containsSemiMixedTypes="0" containsString="0" containsNumber="1" containsInteger="1" minValue="0" maxValue="69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I ATD" refreshedDate="46304.671328819444" createdVersion="8" refreshedVersion="8" minRefreshableVersion="3" recordCount="9" xr:uid="{F3E55543-127C-49EA-BF6D-3C0242DF16B8}">
  <cacheSource type="worksheet">
    <worksheetSource name="Table25"/>
  </cacheSource>
  <cacheFields count="10">
    <cacheField name="S.No" numFmtId="0">
      <sharedItems containsSemiMixedTypes="0" containsString="0" containsNumber="1" containsInteger="1" minValue="1" maxValue="9"/>
    </cacheField>
    <cacheField name="Name" numFmtId="0">
      <sharedItems containsBlank="1" count="10">
        <s v="Abdul Samad "/>
        <s v="yaseen"/>
        <s v="tayyab"/>
        <s v="zumber"/>
        <s v="awais "/>
        <s v="mujtaba"/>
        <s v="sher ali"/>
        <s v="areesha"/>
        <s v="khyam"/>
        <m u="1"/>
      </sharedItems>
    </cacheField>
    <cacheField name="Subject" numFmtId="0">
      <sharedItems containsBlank="1"/>
    </cacheField>
    <cacheField name="Class" numFmtId="0">
      <sharedItems containsBlank="1"/>
    </cacheField>
    <cacheField name="Date" numFmtId="14">
      <sharedItems containsSemiMixedTypes="0" containsNonDate="0" containsDate="1" containsString="0" minDate="2026-06-01T00:00:00" maxDate="2026-06-02T00:00:00"/>
    </cacheField>
    <cacheField name="Total Fee" numFmtId="0">
      <sharedItems containsString="0" containsBlank="1" containsNumber="1" containsInteger="1" minValue="700" maxValue="3200"/>
    </cacheField>
    <cacheField name="Fee Paid" numFmtId="0">
      <sharedItems containsString="0" containsBlank="1" containsNumber="1" containsInteger="1" minValue="700" maxValue="3200" count="6">
        <n v="2000"/>
        <n v="2100"/>
        <n v="3200"/>
        <n v="700"/>
        <m/>
        <n v="1000"/>
      </sharedItems>
    </cacheField>
    <cacheField name="Remaining" numFmtId="3">
      <sharedItems containsSemiMixedTypes="0" containsString="0" containsNumber="1" containsInteger="1" minValue="0" maxValue="1000"/>
    </cacheField>
    <cacheField name="Teacher Share (70%)" numFmtId="3">
      <sharedItems containsSemiMixedTypes="0" containsString="0" containsNumber="1" containsInteger="1" minValue="0" maxValue="2240"/>
    </cacheField>
    <cacheField name="Academy Share (30%)" numFmtId="3">
      <sharedItems containsSemiMixedTypes="0" containsString="0" containsNumber="1" containsInteger="1" minValue="0" maxValue="96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x v="0"/>
    <s v=""/>
    <d v="2026-05-01T00:00:00"/>
    <n v="3900"/>
    <x v="0"/>
    <n v="2600"/>
    <n v="910"/>
    <n v="390"/>
  </r>
  <r>
    <n v="2"/>
    <x v="1"/>
    <x v="1"/>
    <s v=""/>
    <d v="2026-05-01T00:00:00"/>
    <n v="1000"/>
    <x v="1"/>
    <n v="1000"/>
    <n v="0"/>
    <n v="0"/>
  </r>
  <r>
    <n v="3"/>
    <x v="2"/>
    <x v="2"/>
    <s v=""/>
    <d v="2026-05-01T00:00:00"/>
    <n v="1200"/>
    <x v="1"/>
    <n v="1200"/>
    <n v="0"/>
    <n v="0"/>
  </r>
  <r>
    <n v="4"/>
    <x v="3"/>
    <x v="3"/>
    <s v=""/>
    <d v="2026-05-01T00:00:00"/>
    <n v="2250"/>
    <x v="2"/>
    <n v="0"/>
    <n v="1575"/>
    <n v="675"/>
  </r>
  <r>
    <n v="5"/>
    <x v="4"/>
    <x v="1"/>
    <s v=""/>
    <d v="2026-05-01T00:00:00"/>
    <n v="1000"/>
    <x v="1"/>
    <n v="100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s v="Math"/>
    <s v="BS"/>
    <d v="2026-06-01T00:00:00"/>
    <n v="0"/>
    <x v="0"/>
    <n v="0"/>
    <n v="0"/>
    <n v="0"/>
  </r>
  <r>
    <n v="2"/>
    <x v="1"/>
    <s v="MAths,ISl,isl(el),Sci"/>
    <s v="10=11"/>
    <d v="2026-06-01T00:00:00"/>
    <n v="3200"/>
    <x v="1"/>
    <n v="900"/>
    <n v="1610"/>
    <n v="690"/>
  </r>
  <r>
    <n v="4"/>
    <x v="2"/>
    <s v="Math,Phy,Che"/>
    <s v="10th"/>
    <d v="2026-06-01T00:00:00"/>
    <n v="2000"/>
    <x v="2"/>
    <n v="0"/>
    <n v="1400"/>
    <n v="600"/>
  </r>
  <r>
    <n v="5"/>
    <x v="3"/>
    <s v="Sci,Maths"/>
    <s v="10th"/>
    <d v="2026-06-01T00:00:00"/>
    <n v="2000"/>
    <x v="2"/>
    <n v="0"/>
    <n v="1400"/>
    <n v="600"/>
  </r>
  <r>
    <n v="6"/>
    <x v="4"/>
    <s v="MAth,Phy, "/>
    <s v="9th"/>
    <d v="2026-06-01T00:00:00"/>
    <n v="2000"/>
    <x v="2"/>
    <n v="0"/>
    <n v="1400"/>
    <n v="600"/>
  </r>
  <r>
    <n v="7"/>
    <x v="5"/>
    <s v="MAth,Urdu"/>
    <s v="8th"/>
    <d v="2026-06-01T00:00:00"/>
    <n v="2000"/>
    <x v="2"/>
    <n v="0"/>
    <n v="1400"/>
    <n v="600"/>
  </r>
  <r>
    <n v="8"/>
    <x v="6"/>
    <s v="Math,Phy,Che"/>
    <s v="10th"/>
    <d v="2026-06-01T00:00:00"/>
    <n v="2100"/>
    <x v="3"/>
    <n v="0"/>
    <n v="1470"/>
    <n v="630"/>
  </r>
  <r>
    <n v="9"/>
    <x v="7"/>
    <s v="MAths "/>
    <s v="4th"/>
    <d v="2026-06-01T00:00:00"/>
    <n v="700"/>
    <x v="4"/>
    <n v="0"/>
    <n v="490"/>
    <n v="210"/>
  </r>
  <r>
    <n v="10"/>
    <x v="8"/>
    <s v="Math,sci"/>
    <s v="7th"/>
    <d v="2026-06-01T00:00:00"/>
    <n v="2000"/>
    <x v="2"/>
    <n v="0"/>
    <n v="1400"/>
    <n v="600"/>
  </r>
  <r>
    <n v="11"/>
    <x v="9"/>
    <s v="Math"/>
    <s v="2nd year"/>
    <d v="2026-06-01T00:00:00"/>
    <n v="500"/>
    <x v="5"/>
    <n v="0"/>
    <n v="350"/>
    <n v="150"/>
  </r>
  <r>
    <n v="12"/>
    <x v="10"/>
    <s v="math,phy"/>
    <m/>
    <m/>
    <n v="2000"/>
    <x v="2"/>
    <n v="0"/>
    <n v="1400"/>
    <n v="6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x v="0"/>
    <s v="eng/che"/>
    <s v="9th"/>
    <d v="2026-06-01T00:00:00"/>
    <n v="2000"/>
    <x v="0"/>
    <n v="0"/>
    <n v="1400"/>
    <n v="600"/>
  </r>
  <r>
    <n v="2"/>
    <x v="1"/>
    <s v="isl/urdu"/>
    <s v="7th"/>
    <d v="2026-06-01T00:00:00"/>
    <n v="2000"/>
    <x v="0"/>
    <n v="0"/>
    <n v="1400"/>
    <n v="600"/>
  </r>
  <r>
    <n v="3"/>
    <x v="2"/>
    <s v="isl/urdu/sci"/>
    <s v="4th"/>
    <d v="2026-06-01T00:00:00"/>
    <n v="2100"/>
    <x v="1"/>
    <n v="0"/>
    <n v="1470"/>
    <n v="630"/>
  </r>
  <r>
    <n v="4"/>
    <x v="3"/>
    <s v="eng 11th/eng10th/ur 11th/ps 10th/education"/>
    <s v="10th/11th"/>
    <d v="2026-06-01T00:00:00"/>
    <n v="3200"/>
    <x v="2"/>
    <n v="0"/>
    <n v="2240"/>
    <n v="960"/>
  </r>
  <r>
    <n v="5"/>
    <x v="4"/>
    <s v="eng/sci"/>
    <s v="8th"/>
    <d v="2026-06-01T00:00:00"/>
    <n v="2000"/>
    <x v="0"/>
    <n v="0"/>
    <n v="1400"/>
    <n v="600"/>
  </r>
  <r>
    <n v="6"/>
    <x v="5"/>
    <s v="geography/eng"/>
    <s v="7th"/>
    <d v="2026-06-01T00:00:00"/>
    <n v="2000"/>
    <x v="0"/>
    <n v="0"/>
    <n v="1400"/>
    <n v="600"/>
  </r>
  <r>
    <n v="7"/>
    <x v="6"/>
    <s v="bio"/>
    <s v="10th "/>
    <d v="2026-06-01T00:00:00"/>
    <n v="700"/>
    <x v="3"/>
    <n v="0"/>
    <n v="490"/>
    <n v="210"/>
  </r>
  <r>
    <n v="8"/>
    <x v="7"/>
    <m/>
    <s v="bs"/>
    <d v="2026-06-01T00:00:00"/>
    <m/>
    <x v="4"/>
    <n v="0"/>
    <n v="0"/>
    <n v="0"/>
  </r>
  <r>
    <n v="9"/>
    <x v="8"/>
    <s v="eng/boi"/>
    <m/>
    <d v="2026-06-01T00:00:00"/>
    <n v="2000"/>
    <x v="5"/>
    <n v="1000"/>
    <n v="700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EA624-A4AD-4FEB-BB83-A36FB29E95A4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33" firstHeaderRow="0" firstDataRow="0" firstDataCol="0"/>
  <pivotFields count="10"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numFmtId="14" showAll="0"/>
    <pivotField showAll="0"/>
    <pivotField axis="axisPage" showAll="0">
      <items count="4">
        <item x="0"/>
        <item x="2"/>
        <item x="1"/>
        <item t="default"/>
      </items>
    </pivotField>
    <pivotField dataField="1" numFmtId="3" showAll="0"/>
    <pivotField numFmtId="3" showAll="0"/>
    <pivotField numFmtId="3" showAll="0"/>
  </pivotFields>
  <rowFields count="2">
    <field x="1"/>
    <field x="2"/>
  </rowFields>
  <rowItems count="11">
    <i>
      <x/>
    </i>
    <i r="1">
      <x/>
    </i>
    <i>
      <x v="1"/>
    </i>
    <i r="1">
      <x v="2"/>
    </i>
    <i>
      <x v="2"/>
    </i>
    <i r="1">
      <x v="3"/>
    </i>
    <i>
      <x v="3"/>
    </i>
    <i r="1">
      <x/>
    </i>
    <i>
      <x v="4"/>
    </i>
    <i r="1">
      <x v="1"/>
    </i>
    <i t="grand">
      <x/>
    </i>
  </rowItems>
  <colItems count="1">
    <i/>
  </colItems>
  <pageFields count="1">
    <pageField fld="6" hier="-1"/>
  </pageFields>
  <dataFields count="1">
    <dataField name="Sum of Remaining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392AF-5D33-4E26-BE62-98F749921093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35" firstHeaderRow="0" firstDataRow="0" firstDataCol="0"/>
  <pivotFields count="10"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numFmtId="14" showAll="0"/>
    <pivotField showAll="0"/>
    <pivotField axis="axisPage" showAll="0">
      <items count="4">
        <item x="0"/>
        <item x="2"/>
        <item x="1"/>
        <item t="default"/>
      </items>
    </pivotField>
    <pivotField dataField="1" numFmtId="3" showAll="0"/>
    <pivotField numFmtId="3" showAll="0"/>
    <pivotField numFmtId="3" showAll="0"/>
  </pivotFields>
  <rowFields count="2">
    <field x="1"/>
    <field x="2"/>
  </rowFields>
  <rowItems count="11">
    <i>
      <x/>
    </i>
    <i r="1">
      <x/>
    </i>
    <i>
      <x v="1"/>
    </i>
    <i r="1">
      <x v="2"/>
    </i>
    <i>
      <x v="2"/>
    </i>
    <i r="1">
      <x v="3"/>
    </i>
    <i>
      <x v="3"/>
    </i>
    <i r="1">
      <x/>
    </i>
    <i>
      <x v="4"/>
    </i>
    <i r="1">
      <x v="1"/>
    </i>
    <i t="grand">
      <x/>
    </i>
  </rowItems>
  <colItems count="1">
    <i/>
  </colItems>
  <pageFields count="1">
    <pageField fld="6" hier="-1"/>
  </pageFields>
  <dataFields count="1">
    <dataField name="Sum of Remaining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FAA14-D55A-48C1-AA14-6F8878139C3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51:I63" firstHeaderRow="1" firstDataRow="1" firstDataCol="1" rowPageCount="1" colPageCount="1"/>
  <pivotFields count="10">
    <pivotField showAll="0"/>
    <pivotField axis="axisRow" showAll="0">
      <items count="12">
        <item x="9"/>
        <item x="4"/>
        <item x="5"/>
        <item x="3"/>
        <item x="10"/>
        <item x="2"/>
        <item x="0"/>
        <item x="6"/>
        <item x="7"/>
        <item x="8"/>
        <item x="1"/>
        <item t="default"/>
      </items>
    </pivotField>
    <pivotField showAll="0"/>
    <pivotField showAll="0"/>
    <pivotField showAll="0"/>
    <pivotField showAll="0"/>
    <pivotField axis="axisPage" showAll="0">
      <items count="7">
        <item x="0"/>
        <item x="5"/>
        <item x="2"/>
        <item x="3"/>
        <item x="1"/>
        <item x="4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78DE1-EB47-4B9C-9900-DE333A738E7D}" name="PivotTable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50:L52" firstHeaderRow="1" firstDataRow="1" firstDataCol="1" rowPageCount="1" colPageCount="1"/>
  <pivotFields count="10">
    <pivotField showAll="0"/>
    <pivotField axis="axisRow" showAll="0">
      <items count="11">
        <item x="0"/>
        <item x="7"/>
        <item x="4"/>
        <item x="5"/>
        <item x="6"/>
        <item x="2"/>
        <item x="1"/>
        <item x="3"/>
        <item m="1" x="9"/>
        <item x="8"/>
        <item t="default"/>
      </items>
    </pivotField>
    <pivotField showAll="0"/>
    <pivotField showAll="0"/>
    <pivotField numFmtId="14" showAll="0"/>
    <pivotField showAll="0"/>
    <pivotField axis="axisPage" showAll="0">
      <items count="7">
        <item x="3"/>
        <item x="0"/>
        <item x="4"/>
        <item x="1"/>
        <item x="2"/>
        <item x="5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6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E78D7-746B-429C-B57B-5258455C379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56:I68" firstHeaderRow="1" firstDataRow="1" firstDataCol="1" rowPageCount="1" colPageCount="1"/>
  <pivotFields count="10">
    <pivotField showAll="0"/>
    <pivotField axis="axisRow" showAll="0">
      <items count="12">
        <item x="9"/>
        <item x="4"/>
        <item x="5"/>
        <item x="3"/>
        <item x="10"/>
        <item x="2"/>
        <item x="0"/>
        <item x="6"/>
        <item x="7"/>
        <item x="8"/>
        <item x="1"/>
        <item t="default"/>
      </items>
    </pivotField>
    <pivotField showAll="0"/>
    <pivotField showAll="0"/>
    <pivotField showAll="0"/>
    <pivotField showAll="0"/>
    <pivotField axis="axisPage" showAll="0">
      <items count="7">
        <item x="0"/>
        <item x="5"/>
        <item x="2"/>
        <item x="3"/>
        <item x="1"/>
        <item x="4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85A6C-47DE-4EF7-8EA3-CAA2C8AFE0FC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58:L60" firstHeaderRow="1" firstDataRow="1" firstDataCol="1" rowPageCount="1" colPageCount="1"/>
  <pivotFields count="10">
    <pivotField showAll="0"/>
    <pivotField axis="axisRow" showAll="0">
      <items count="11">
        <item x="0"/>
        <item x="7"/>
        <item x="4"/>
        <item x="5"/>
        <item x="6"/>
        <item x="2"/>
        <item x="1"/>
        <item x="3"/>
        <item m="1" x="9"/>
        <item x="8"/>
        <item t="default"/>
      </items>
    </pivotField>
    <pivotField showAll="0"/>
    <pivotField showAll="0"/>
    <pivotField numFmtId="14" showAll="0"/>
    <pivotField showAll="0"/>
    <pivotField axis="axisPage" showAll="0">
      <items count="7">
        <item x="3"/>
        <item x="0"/>
        <item x="4"/>
        <item x="1"/>
        <item x="2"/>
        <item x="5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6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9BB63-BF87-4220-9C8F-BECEB8F8E945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54:L56" firstHeaderRow="1" firstDataRow="1" firstDataCol="1" rowPageCount="1" colPageCount="1"/>
  <pivotFields count="10">
    <pivotField showAll="0"/>
    <pivotField axis="axisRow" showAll="0">
      <items count="11">
        <item x="0"/>
        <item x="7"/>
        <item x="4"/>
        <item x="5"/>
        <item x="6"/>
        <item x="2"/>
        <item x="1"/>
        <item x="3"/>
        <item m="1" x="9"/>
        <item x="8"/>
        <item t="default"/>
      </items>
    </pivotField>
    <pivotField showAll="0"/>
    <pivotField showAll="0"/>
    <pivotField numFmtId="14" showAll="0"/>
    <pivotField showAll="0"/>
    <pivotField axis="axisPage" showAll="0">
      <items count="7">
        <item x="3"/>
        <item x="0"/>
        <item x="4"/>
        <item x="1"/>
        <item x="2"/>
        <item x="5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6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D0CAF-37EE-402F-897E-4D9B7970BAD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54:I66" firstHeaderRow="1" firstDataRow="1" firstDataCol="1" rowPageCount="1" colPageCount="1"/>
  <pivotFields count="10">
    <pivotField showAll="0"/>
    <pivotField axis="axisRow" showAll="0">
      <items count="12">
        <item x="9"/>
        <item x="4"/>
        <item x="5"/>
        <item x="3"/>
        <item x="10"/>
        <item x="2"/>
        <item x="0"/>
        <item x="6"/>
        <item x="7"/>
        <item x="8"/>
        <item x="1"/>
        <item t="default"/>
      </items>
    </pivotField>
    <pivotField showAll="0"/>
    <pivotField showAll="0"/>
    <pivotField showAll="0"/>
    <pivotField showAll="0"/>
    <pivotField axis="axisPage" showAll="0">
      <items count="7">
        <item x="0"/>
        <item x="5"/>
        <item x="2"/>
        <item x="3"/>
        <item x="1"/>
        <item x="4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DF1C7-6CFA-451E-9431-D0AA1A8B7345}" name="PivotTable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56:L58" firstHeaderRow="1" firstDataRow="1" firstDataCol="1" rowPageCount="1" colPageCount="1"/>
  <pivotFields count="10">
    <pivotField showAll="0"/>
    <pivotField axis="axisRow" showAll="0">
      <items count="11">
        <item x="0"/>
        <item x="7"/>
        <item x="4"/>
        <item x="5"/>
        <item x="6"/>
        <item x="2"/>
        <item x="1"/>
        <item x="3"/>
        <item m="1" x="9"/>
        <item x="8"/>
        <item t="default"/>
      </items>
    </pivotField>
    <pivotField showAll="0"/>
    <pivotField showAll="0"/>
    <pivotField numFmtId="14" showAll="0"/>
    <pivotField showAll="0"/>
    <pivotField axis="axisPage" showAll="0">
      <items count="7">
        <item x="3"/>
        <item x="0"/>
        <item x="4"/>
        <item x="1"/>
        <item x="2"/>
        <item x="5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6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2B58F-5BE4-4A22-A6EE-F9F098854EE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47:I59" firstHeaderRow="1" firstDataRow="1" firstDataCol="1" rowPageCount="1" colPageCount="1"/>
  <pivotFields count="10">
    <pivotField showAll="0"/>
    <pivotField axis="axisRow" showAll="0">
      <items count="12">
        <item x="9"/>
        <item x="4"/>
        <item x="5"/>
        <item x="3"/>
        <item x="10"/>
        <item x="2"/>
        <item x="0"/>
        <item x="6"/>
        <item x="7"/>
        <item x="8"/>
        <item x="1"/>
        <item t="default"/>
      </items>
    </pivotField>
    <pivotField showAll="0"/>
    <pivotField showAll="0"/>
    <pivotField showAll="0"/>
    <pivotField showAll="0"/>
    <pivotField axis="axisPage" showAll="0">
      <items count="7">
        <item x="0"/>
        <item x="5"/>
        <item x="2"/>
        <item x="3"/>
        <item x="1"/>
        <item x="4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7273E-57D3-4DD1-A61A-C92C6701EC1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49:I61" firstHeaderRow="1" firstDataRow="1" firstDataCol="1" rowPageCount="1" colPageCount="1"/>
  <pivotFields count="10">
    <pivotField showAll="0"/>
    <pivotField axis="axisRow" showAll="0">
      <items count="12">
        <item x="9"/>
        <item x="4"/>
        <item x="5"/>
        <item x="3"/>
        <item x="10"/>
        <item x="2"/>
        <item x="0"/>
        <item x="6"/>
        <item x="7"/>
        <item x="8"/>
        <item x="1"/>
        <item t="default"/>
      </items>
    </pivotField>
    <pivotField showAll="0"/>
    <pivotField showAll="0"/>
    <pivotField showAll="0"/>
    <pivotField showAll="0"/>
    <pivotField axis="axisPage" showAll="0">
      <items count="7">
        <item x="0"/>
        <item x="5"/>
        <item x="2"/>
        <item x="3"/>
        <item x="1"/>
        <item x="4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6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7BAE1-4553-42AA-A2B5-831DC05245CE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59:L61" firstHeaderRow="1" firstDataRow="1" firstDataCol="1" rowPageCount="1" colPageCount="1"/>
  <pivotFields count="10">
    <pivotField showAll="0"/>
    <pivotField axis="axisRow" showAll="0">
      <items count="11">
        <item x="0"/>
        <item x="7"/>
        <item x="4"/>
        <item x="5"/>
        <item x="6"/>
        <item x="2"/>
        <item x="1"/>
        <item x="3"/>
        <item m="1" x="9"/>
        <item x="8"/>
        <item t="default"/>
      </items>
    </pivotField>
    <pivotField showAll="0"/>
    <pivotField showAll="0"/>
    <pivotField numFmtId="14" showAll="0"/>
    <pivotField showAll="0"/>
    <pivotField axis="axisPage" showAll="0">
      <items count="7">
        <item x="3"/>
        <item x="0"/>
        <item x="4"/>
        <item x="1"/>
        <item x="2"/>
        <item x="5"/>
        <item t="default"/>
      </items>
    </pivotField>
    <pivotField numFmtId="3" showAll="0"/>
    <pivotField numFmtId="3" showAll="0"/>
    <pivotField numFmtId="3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6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F7B9C8-F771-4533-BF33-E6EB409A62DD}" name="Table1" displayName="Table1" ref="A4:J8" totalsRowShown="0" headerRowDxfId="214" headerRowBorderDxfId="213" tableBorderDxfId="212" totalsRowBorderDxfId="211">
  <tableColumns count="10">
    <tableColumn id="1" xr3:uid="{99436A92-B0EE-4FEE-913C-A3C98A1BFFC2}" name="S.No" dataDxfId="210"/>
    <tableColumn id="2" xr3:uid="{230B1621-54DE-48B9-92F4-CA0537BFF0CA}" name="Name" dataDxfId="209"/>
    <tableColumn id="3" xr3:uid="{572F1ED1-30A3-4C6E-AF61-F476F8CF3970}" name="Subject"/>
    <tableColumn id="4" xr3:uid="{E1240000-313C-4D6E-84B6-33338224E727}" name="Class" dataDxfId="208">
      <calculatedColumnFormula>""</calculatedColumnFormula>
    </tableColumn>
    <tableColumn id="5" xr3:uid="{2A31A259-8C65-4F5F-91E0-A7B8A65626F1}" name="Date" dataDxfId="207"/>
    <tableColumn id="6" xr3:uid="{834BFE9C-F19F-4946-8930-038C69693985}" name="Total Fee"/>
    <tableColumn id="7" xr3:uid="{31B54CB2-C750-48D0-88FC-1AB55E290542}" name="Fee Paid" dataDxfId="206" dataCellStyle="Good"/>
    <tableColumn id="8" xr3:uid="{62E6EB32-77AB-4DB0-BBE9-57B344FF3582}" name="Remaining" dataDxfId="205"/>
    <tableColumn id="9" xr3:uid="{44269FAB-A8CB-493A-BEC4-75DB10DCF89C}" name="Teacher Share (70%)" dataDxfId="204">
      <calculatedColumnFormula>G5/100*70</calculatedColumnFormula>
    </tableColumn>
    <tableColumn id="10" xr3:uid="{3FB6264E-9E4E-4715-9E3E-93282F749CFF}" name="Academy Share (30%)" dataDxfId="203">
      <calculatedColumnFormula>IF($F5="","",N($G5)*0.3)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FF1D77-5536-4EC5-BD95-E32234643EF5}" name="Table2" displayName="Table2" ref="A15:J24" totalsRowShown="0" headerRowDxfId="202" headerRowBorderDxfId="201" tableBorderDxfId="200" totalsRowBorderDxfId="199">
  <tableColumns count="10">
    <tableColumn id="1" xr3:uid="{72075746-C653-49CE-AA90-BCF2A3D2053F}" name="S.No" dataDxfId="198"/>
    <tableColumn id="2" xr3:uid="{B9BCA28A-B2A9-4E94-87F0-158973419EA5}" name="Name" dataDxfId="197"/>
    <tableColumn id="3" xr3:uid="{B066DC93-639B-4C9E-B678-B94D1F6AD1BA}" name="Subject" dataDxfId="196"/>
    <tableColumn id="4" xr3:uid="{E198EA56-7E87-4D0D-8F14-06805F8DBEB4}" name="Class" dataDxfId="195"/>
    <tableColumn id="5" xr3:uid="{45907D3B-8952-4393-8613-DC0FD8C458FD}" name="Date" dataDxfId="194"/>
    <tableColumn id="6" xr3:uid="{FFE4BE12-0A7E-4B79-8533-3984DB647ECB}" name="Total Fee" dataDxfId="193"/>
    <tableColumn id="7" xr3:uid="{30F7281D-7304-4C12-8195-2C4876249920}" name="Fee Paid" dataDxfId="192"/>
    <tableColumn id="8" xr3:uid="{0F845C7E-56A9-4B75-8F43-A299C25CF0E3}" name="Remaining" dataDxfId="191">
      <calculatedColumnFormula>F16-G16</calculatedColumnFormula>
    </tableColumn>
    <tableColumn id="9" xr3:uid="{E55C5554-0F6D-45D4-9C43-6F358530E3C9}" name="Teacher Share (70%)" dataDxfId="190">
      <calculatedColumnFormula>G16/100*70</calculatedColumnFormula>
    </tableColumn>
    <tableColumn id="10" xr3:uid="{2C3E1C85-1A5E-498F-B44B-2C89DF29454E}" name="Academy Share (30%)" dataDxfId="189">
      <calculatedColumnFormula>G16/100*30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B60F25-C6AE-40A6-B275-5E3EF242611A}" name="Table14" displayName="Table14" ref="A4:J15" totalsRowShown="0" headerRowDxfId="188" headerRowBorderDxfId="187" tableBorderDxfId="186" totalsRowBorderDxfId="185">
  <tableColumns count="10">
    <tableColumn id="1" xr3:uid="{3C3E1E5C-34A4-4800-BD52-AB49FB12640A}" name="S.No" dataDxfId="184"/>
    <tableColumn id="2" xr3:uid="{A6B7F2EB-FCF5-4FFA-8FA6-42F88D9E765B}" name="Name" dataDxfId="183"/>
    <tableColumn id="3" xr3:uid="{4946C8C3-829E-446E-A65E-2F76DFF14A81}" name="Subject"/>
    <tableColumn id="4" xr3:uid="{DCE68F23-554B-4307-9AA8-C72F822E4A0C}" name="Class" dataDxfId="182"/>
    <tableColumn id="5" xr3:uid="{4E1DE871-5DB5-4BBD-BC2F-5EC9403A9D01}" name="Date" dataDxfId="181"/>
    <tableColumn id="6" xr3:uid="{FF0BA39C-17B5-446E-B5C3-54E20847648C}" name="Total Fee"/>
    <tableColumn id="7" xr3:uid="{E39BA030-E8B1-464F-BB42-52B2F75DFC0B}" name="Fee Paid" dataDxfId="180" dataCellStyle="Good"/>
    <tableColumn id="8" xr3:uid="{9410B69D-F9F4-42A5-84CF-A3A8D8A58625}" name="Remaining" dataDxfId="179">
      <calculatedColumnFormula>IF($F5="","",$F5-N($G5))</calculatedColumnFormula>
    </tableColumn>
    <tableColumn id="9" xr3:uid="{FD453AFC-C0F8-4E6C-9EAF-4BAFFA3CF549}" name="Teacher Share (70%)" dataDxfId="178">
      <calculatedColumnFormula>G5/100*70</calculatedColumnFormula>
    </tableColumn>
    <tableColumn id="10" xr3:uid="{0AB6EFC1-54C1-4858-BDF1-E3C51C470AF6}" name="Academy Share (30%)" dataDxfId="177">
      <calculatedColumnFormula>IF($F5="","",N($G5)*0.3)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1C801B-3AAF-4E53-8177-3C2932AFDDA1}" name="Table25" displayName="Table25" ref="A20:J29" totalsRowShown="0" headerRowDxfId="176" headerRowBorderDxfId="175" tableBorderDxfId="174" totalsRowBorderDxfId="173">
  <tableColumns count="10">
    <tableColumn id="1" xr3:uid="{4E389CB2-D3C2-43DB-BCF2-B178FDAACAFF}" name="S.No" dataDxfId="172"/>
    <tableColumn id="2" xr3:uid="{32373D9C-897E-45B5-9634-59D5C2987284}" name="Name" dataDxfId="171"/>
    <tableColumn id="3" xr3:uid="{A870328F-9097-4754-8050-DD24AB547128}" name="Subject" dataDxfId="170"/>
    <tableColumn id="4" xr3:uid="{7A2A0750-F5CE-45BA-8F87-75EC38F1690D}" name="Class" dataDxfId="169"/>
    <tableColumn id="5" xr3:uid="{94568AE0-805C-4460-8375-2AA952FC3144}" name="Date" dataDxfId="168"/>
    <tableColumn id="6" xr3:uid="{E7461A8C-8181-4BC5-87AE-B7856E85A9B3}" name="Total Fee" dataDxfId="167"/>
    <tableColumn id="7" xr3:uid="{F2D829CD-E3CA-460D-81FC-B042A8B1FF41}" name="Fee Paid" dataDxfId="166"/>
    <tableColumn id="8" xr3:uid="{3C7C4A17-E183-436F-98AB-99CBC4060186}" name="Remaining" dataDxfId="165">
      <calculatedColumnFormula>F21-G21</calculatedColumnFormula>
    </tableColumn>
    <tableColumn id="9" xr3:uid="{817D0DD4-A34C-4EE1-BF53-665F5EE77ECD}" name="Teacher Share (70%)" dataDxfId="164">
      <calculatedColumnFormula>G21/100*70</calculatedColumnFormula>
    </tableColumn>
    <tableColumn id="10" xr3:uid="{8F4D095D-33D0-45C8-95C9-4A662526E98B}" name="Academy Share (30%)" dataDxfId="163">
      <calculatedColumnFormula>G21/100*30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1243A8-34BD-40F9-8CE0-DA2A1D688BA4}" name="Table146" displayName="Table146" ref="A4:K20" totalsRowShown="0" headerRowDxfId="162" headerRowBorderDxfId="161" tableBorderDxfId="160" totalsRowBorderDxfId="159">
  <autoFilter ref="A4:K20" xr:uid="{951243A8-34BD-40F9-8CE0-DA2A1D688B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3E9957E-57A7-4F67-A725-40EAF7D084D8}" name="S.No" dataDxfId="158"/>
    <tableColumn id="2" xr3:uid="{5F0A8475-7F79-41DA-BA5C-8D0013A48407}" name="Name" dataDxfId="157" dataCellStyle="Good"/>
    <tableColumn id="3" xr3:uid="{5A46CB4C-2E8B-4320-9B7B-584A644760F2}" name="Subject" dataDxfId="156" dataCellStyle="Good"/>
    <tableColumn id="4" xr3:uid="{BB61158F-45AC-47F7-AB70-95CB49CDA4A3}" name="Class" dataDxfId="155"/>
    <tableColumn id="11" xr3:uid="{B7875DD2-C6DE-43D7-8142-F186CB0DD042}" name="Start Date" dataDxfId="154"/>
    <tableColumn id="5" xr3:uid="{A8D7F427-0412-4F3A-953E-DB2623CA9F5E}" name="End Date" dataDxfId="153"/>
    <tableColumn id="6" xr3:uid="{287E5BA1-1206-4C05-92A9-5D47B6E1EC31}" name="Total Fee"/>
    <tableColumn id="7" xr3:uid="{0C2AE3DC-63F8-4FF1-B8A7-EF69662D3F7A}" name="Fee Paid" dataDxfId="152" dataCellStyle="Good"/>
    <tableColumn id="8" xr3:uid="{7501A887-EC23-4687-8B45-5A4A75C94CC8}" name="Remaining" dataDxfId="151">
      <calculatedColumnFormula>Table146[[#This Row],[Total Fee]]-Table146[[#This Row],[Fee Paid]]</calculatedColumnFormula>
    </tableColumn>
    <tableColumn id="9" xr3:uid="{87217693-A54E-434E-BE32-0A411D1E3FBD}" name="Teacher Share (70%)" dataDxfId="150">
      <calculatedColumnFormula>Table146[[#This Row],[Fee Paid]]/100*70</calculatedColumnFormula>
    </tableColumn>
    <tableColumn id="10" xr3:uid="{9D9258CA-C07A-4D09-99D5-A3BC5B221922}" name="Academy Share (30%)" dataDxfId="149">
      <calculatedColumnFormula>Table146[[#This Row],[Fee Paid]]/100*30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E89423-E375-47AD-92A6-C1F04E819C1D}" name="Table257" displayName="Table257" ref="A26:K40" totalsRowShown="0" headerRowDxfId="148" headerRowBorderDxfId="147" tableBorderDxfId="146" totalsRowBorderDxfId="145">
  <tableColumns count="11">
    <tableColumn id="1" xr3:uid="{B01FABED-5FD2-41B1-BAE7-2A0618FD6A3B}" name="S.No" dataDxfId="144"/>
    <tableColumn id="2" xr3:uid="{210D8EFD-867F-47B8-8029-C03AB3A07BF3}" name="Name" dataDxfId="143"/>
    <tableColumn id="3" xr3:uid="{9D85F511-111F-4D8D-B8E0-1B8CAD40555B}" name="Subject" dataDxfId="142"/>
    <tableColumn id="4" xr3:uid="{CB3DBE22-A840-4B27-B964-CA364E330728}" name="Class" dataDxfId="141"/>
    <tableColumn id="5" xr3:uid="{3D582984-3BC3-4B15-8E2B-507928CEFD6E}" name="Start Date" dataDxfId="140"/>
    <tableColumn id="11" xr3:uid="{208035D1-3CD1-4AE5-AD3C-131B02ADA853}" name="End Date" dataDxfId="139"/>
    <tableColumn id="6" xr3:uid="{2DF6463C-8504-4FA6-815B-3BB291A9E330}" name="Total Fee" dataDxfId="138"/>
    <tableColumn id="7" xr3:uid="{B18FDDFD-444B-4F9E-B624-210B75C372E5}" name="Fee Paid" dataDxfId="137"/>
    <tableColumn id="8" xr3:uid="{86665C23-BFF0-452A-BC90-EFCC3D557D1D}" name="Remaining" dataDxfId="136">
      <calculatedColumnFormula>G27-Table257[[#This Row],[Fee Paid]]</calculatedColumnFormula>
    </tableColumn>
    <tableColumn id="9" xr3:uid="{2A102FF4-1FB2-4406-A7F7-69C95EFC6899}" name="Teacher Share (70%)" dataDxfId="135">
      <calculatedColumnFormula>Table257[[#This Row],[Fee Paid]]/100*75</calculatedColumnFormula>
    </tableColumn>
    <tableColumn id="10" xr3:uid="{EC107344-C96A-47AF-BEAF-C5E2844984FD}" name="Academy Share (30%)" dataDxfId="134">
      <calculatedColumnFormula>U38/100*30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DA0087-D176-4DA3-8660-0AD317362E96}" name="Table1468" displayName="Table1468" ref="A4:J20" totalsRowShown="0" headerRowDxfId="133" headerRowBorderDxfId="132" tableBorderDxfId="131" totalsRowBorderDxfId="130">
  <tableColumns count="10">
    <tableColumn id="1" xr3:uid="{9A314D4F-43AE-423A-BAE6-37B6277A52EB}" name="S.No" dataDxfId="129"/>
    <tableColumn id="2" xr3:uid="{D2E68588-0C1F-44FE-A523-39ACB452AF3D}" name="Name" dataDxfId="128"/>
    <tableColumn id="3" xr3:uid="{16DB9C40-5183-4166-8F4D-B85E3987DE04}" name="Subject" dataDxfId="127"/>
    <tableColumn id="4" xr3:uid="{DBD38316-0FCF-414F-8F2A-F188EAD1B22B}" name="Class" dataDxfId="126"/>
    <tableColumn id="5" xr3:uid="{B6F443E8-0FE9-4ABE-AF71-C521FA10B655}" name="Date" dataDxfId="125"/>
    <tableColumn id="6" xr3:uid="{0081AE6E-DEB8-421F-BA76-7E10AF884BB3}" name="Total Fee" dataDxfId="124"/>
    <tableColumn id="7" xr3:uid="{4F155D86-CC19-41C9-A949-ED12AAD37257}" name="Fee Paid" dataDxfId="123" dataCellStyle="Good"/>
    <tableColumn id="8" xr3:uid="{AA49EB79-EE4D-4F1F-9BB1-254328505989}" name="Remaining" dataDxfId="122">
      <calculatedColumnFormula>Table1468[[#This Row],[Total Fee]]-Table1468[[#This Row],[Fee Paid]]</calculatedColumnFormula>
    </tableColumn>
    <tableColumn id="9" xr3:uid="{02B1F23A-A616-47D6-B709-3FB6649A82F4}" name="Teacher Share (75%)" dataDxfId="121">
      <calculatedColumnFormula>G5/100*75</calculatedColumnFormula>
    </tableColumn>
    <tableColumn id="10" xr3:uid="{2BC7E860-58E2-4A21-93BC-258960931B56}" name="Academy Share (25%)" dataDxfId="120">
      <calculatedColumnFormula>Table1468[[#This Row],[Fee Paid]]/100*25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35E6C6-F68A-4A85-BB6C-7ADC96CDF869}" name="Table2579" displayName="Table2579" ref="A25:J38" totalsRowShown="0" headerRowDxfId="119" headerRowBorderDxfId="118" tableBorderDxfId="117" totalsRowBorderDxfId="116">
  <tableColumns count="10">
    <tableColumn id="1" xr3:uid="{B7B69226-ED0E-4F67-A298-2FC2D58ADB28}" name="S.No" dataDxfId="115"/>
    <tableColumn id="2" xr3:uid="{CE08F01A-11FB-42D1-B8A7-9AE4BA0D596F}" name="Name" dataDxfId="114"/>
    <tableColumn id="3" xr3:uid="{AF798BE9-287E-4742-ACDA-28C0B8D4C89A}" name="Subject" dataDxfId="113"/>
    <tableColumn id="4" xr3:uid="{579FBD11-CBBA-4C85-9A33-59FBE0411A2D}" name="Class" dataDxfId="112"/>
    <tableColumn id="5" xr3:uid="{B7027975-2F13-43D6-B897-000D96BCBCB7}" name="Date" dataDxfId="111"/>
    <tableColumn id="6" xr3:uid="{5196632A-C365-4A16-9FC9-FC75B0CEE0B4}" name="Total Fee" dataDxfId="110"/>
    <tableColumn id="7" xr3:uid="{2E0CE1BD-F8CD-424A-B00A-AE02A457482F}" name="Fee Paid" dataDxfId="109"/>
    <tableColumn id="8" xr3:uid="{B23DA0C9-4202-46A3-9107-535985E1B931}" name="Remaining" dataDxfId="108">
      <calculatedColumnFormula>Table2579[[#This Row],[Total Fee]]-Table2579[[#This Row],[Fee Paid]]</calculatedColumnFormula>
    </tableColumn>
    <tableColumn id="9" xr3:uid="{090E98F7-658D-42E3-BB71-857E11E4F8AD}" name="Teacher Share (75%)" dataDxfId="107">
      <calculatedColumnFormula>G26/100*75</calculatedColumnFormula>
    </tableColumn>
    <tableColumn id="10" xr3:uid="{AB11A572-62AD-4AD6-BCD1-5DAC343D9D40}" name="Academy Share (25%)" dataDxfId="106">
      <calculatedColumnFormula>Table2579[[#This Row],[Fee Paid]]/100*25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ABF718-0160-4213-B39B-1E9F277103DD}" name="Table146810" displayName="Table146810" ref="A5:J20" totalsRowShown="0" headerRowDxfId="105" headerRowBorderDxfId="104" tableBorderDxfId="103" totalsRowBorderDxfId="102">
  <tableColumns count="10">
    <tableColumn id="1" xr3:uid="{C5E2BD81-C82A-4198-A0C0-34006F5AB861}" name="S.No" dataDxfId="101"/>
    <tableColumn id="2" xr3:uid="{B0661E05-59A5-4E6A-BED2-ECF16A33D905}" name="Name" dataDxfId="100"/>
    <tableColumn id="3" xr3:uid="{01277960-1322-47D1-B77A-1B726150E16C}" name="Subject" dataDxfId="99"/>
    <tableColumn id="4" xr3:uid="{73728E97-A414-4D18-9E44-012B4CB2A3E5}" name="Class" dataDxfId="98"/>
    <tableColumn id="5" xr3:uid="{72AE89B2-3BDD-4B9A-8D6C-B9D8D98D3268}" name="Date" dataDxfId="97"/>
    <tableColumn id="6" xr3:uid="{B5118C70-B205-437A-9F92-3EA03987AD9A}" name="Total Fee" dataDxfId="96"/>
    <tableColumn id="7" xr3:uid="{3A01FF49-7E03-4EA4-B78E-2F20584D9EF0}" name="Fee Paid" dataDxfId="95" dataCellStyle="Good"/>
    <tableColumn id="8" xr3:uid="{53ACDE04-3181-4DD9-B775-3D36A1C45496}" name="Remaining" dataDxfId="94">
      <calculatedColumnFormula>Table146810[[#This Row],[Total Fee]]-Table146810[[#This Row],[Fee Paid]]</calculatedColumnFormula>
    </tableColumn>
    <tableColumn id="9" xr3:uid="{867EAFA9-C840-4437-A897-8EEC799503D6}" name="Teacher Share (75%)" dataDxfId="93">
      <calculatedColumnFormula>G6/100*75</calculatedColumnFormula>
    </tableColumn>
    <tableColumn id="10" xr3:uid="{D5B2C2FE-07B4-48BF-A6E9-68239D368381}" name="Academy Share (25%)" dataDxfId="92">
      <calculatedColumnFormula>Table146810[[#This Row],[Fee Paid]]/100*25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9B5E704-247C-448D-8ED3-DE87BCC4EB3F}" name="Table257911" displayName="Table257911" ref="A26:J33" totalsRowShown="0" headerRowDxfId="91" headerRowBorderDxfId="90" tableBorderDxfId="89" totalsRowBorderDxfId="88">
  <tableColumns count="10">
    <tableColumn id="1" xr3:uid="{C0ED8E95-4F91-40CC-8D8D-B781708600EE}" name="S.No" dataDxfId="87"/>
    <tableColumn id="2" xr3:uid="{AE2B9D30-2841-4244-8496-A68748D2B7CD}" name="Name" dataDxfId="86"/>
    <tableColumn id="3" xr3:uid="{EB169A5E-BC0D-4595-8BE7-61625EF94496}" name="Subject" dataDxfId="85"/>
    <tableColumn id="4" xr3:uid="{45544977-CB43-4C0E-8187-84133BB40E82}" name="Class" dataDxfId="84"/>
    <tableColumn id="5" xr3:uid="{31C7CAF5-974E-436E-8E59-0A26D3B42AA0}" name="Date" dataDxfId="83"/>
    <tableColumn id="6" xr3:uid="{B9DF951F-83F4-4687-B0BF-BAD7040374B6}" name="Total Fee" dataDxfId="82"/>
    <tableColumn id="7" xr3:uid="{3A233081-6D0E-4DDA-9887-27EC19C4BA94}" name="Fee Paid" dataDxfId="81"/>
    <tableColumn id="8" xr3:uid="{B7FAF1DF-6F18-4FE6-887D-D3D27224C1FA}" name="Remaining" dataDxfId="80">
      <calculatedColumnFormula>Table257911[[#This Row],[Total Fee]]-Table257911[[#This Row],[Fee Paid]]</calculatedColumnFormula>
    </tableColumn>
    <tableColumn id="9" xr3:uid="{EB96DF1A-F00F-44DB-96A0-7D98FE46B717}" name="Teacher Share (75%)" dataDxfId="79">
      <calculatedColumnFormula>G28/100*75</calculatedColumnFormula>
    </tableColumn>
    <tableColumn id="10" xr3:uid="{70DF4984-D1EF-4AD2-ACD8-B27E15CEF4F4}" name="Academy Share (25%)" dataDxfId="78">
      <calculatedColumnFormula>Table257911[[#This Row],[Fee Paid]]/100*25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42F164E-1D23-4E0A-8130-C45E4457C965}" name="Table14681012" displayName="Table14681012" ref="A6:J23" totalsRowShown="0" headerRowDxfId="244" dataDxfId="242" headerRowBorderDxfId="243" tableBorderDxfId="241" totalsRowBorderDxfId="240">
  <tableColumns count="10">
    <tableColumn id="1" xr3:uid="{739A69DC-D357-4973-867D-00397F46AAA7}" name="S.No" dataDxfId="239"/>
    <tableColumn id="2" xr3:uid="{160463DC-6129-4D02-9143-FA92799DA6F7}" name="Name" dataDxfId="238"/>
    <tableColumn id="3" xr3:uid="{9333CF9C-6189-49CF-A1B7-81F1243E599A}" name="Subject" dataDxfId="237"/>
    <tableColumn id="4" xr3:uid="{FDF18E7B-D722-4CE7-88A9-0FD89311FF7E}" name="Class" dataDxfId="236"/>
    <tableColumn id="5" xr3:uid="{963D9891-4A37-4E35-BAA5-797DA8A857B8}" name="Date" dataDxfId="235"/>
    <tableColumn id="6" xr3:uid="{DE761571-5CC8-468F-A72B-3BD21FDA2DB3}" name="Total Fee" dataDxfId="234"/>
    <tableColumn id="7" xr3:uid="{F60119ED-C8E6-4FDB-9123-D0D6A68099A5}" name="Fee Paid" dataDxfId="233" dataCellStyle="Good"/>
    <tableColumn id="8" xr3:uid="{4102B0D6-F945-4FF0-962B-97EEC7962BFE}" name="Remaining" dataDxfId="232">
      <calculatedColumnFormula>Table14681012[[#This Row],[Total Fee]]-Table14681012[[#This Row],[Fee Paid]]</calculatedColumnFormula>
    </tableColumn>
    <tableColumn id="9" xr3:uid="{1D983131-A572-44B3-8BC7-947D90001814}" name="Teacher Share (75%)" dataDxfId="231">
      <calculatedColumnFormula>Table14681012[[#This Row],[Fee Paid]]*75%</calculatedColumnFormula>
    </tableColumn>
    <tableColumn id="10" xr3:uid="{2EEDF47C-7181-4445-91F2-3E1A1289132A}" name="Academy Share (25%)" dataDxfId="230">
      <calculatedColumnFormula>Table14681012[[#This Row],[Fee Paid]]*25%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3FE1E7-6F59-4EF3-BC99-9AF0EC336793}" name="Table25791113" displayName="Table25791113" ref="A29:J36" totalsRowShown="0" headerRowDxfId="229" dataDxfId="227" headerRowBorderDxfId="228" tableBorderDxfId="226" totalsRowBorderDxfId="225">
  <tableColumns count="10">
    <tableColumn id="1" xr3:uid="{7353FE2F-D08A-45A1-ADF9-847F1D240523}" name="S.No" dataDxfId="224"/>
    <tableColumn id="2" xr3:uid="{BE59A517-2138-44C9-A8AD-53DD5EBDBC7F}" name="Name" dataDxfId="223"/>
    <tableColumn id="3" xr3:uid="{7B42F48C-D5AC-4C23-BB02-820AFF88CA4C}" name="Subject" dataDxfId="222"/>
    <tableColumn id="4" xr3:uid="{0BB0A7ED-89F3-4095-BD50-5FDAE32A0196}" name="Class" dataDxfId="221"/>
    <tableColumn id="5" xr3:uid="{C1C66F0D-7B2D-4F2E-B4AB-7FC473BBC493}" name="Date" dataDxfId="220"/>
    <tableColumn id="6" xr3:uid="{3475D3BB-4666-41A3-9100-FFDD97E2F677}" name="Total Fee" dataDxfId="219"/>
    <tableColumn id="7" xr3:uid="{2D93A48F-B337-4050-BED0-026501CA2422}" name="Fee Paid" dataDxfId="218"/>
    <tableColumn id="8" xr3:uid="{CDB8C699-A44D-4A3D-8840-3088B9C58C83}" name="Remaining" dataDxfId="217">
      <calculatedColumnFormula>Table25791113[[#This Row],[Total Fee]]-Table25791113[[#This Row],[Fee Paid]]</calculatedColumnFormula>
    </tableColumn>
    <tableColumn id="9" xr3:uid="{B983D99B-17B3-4EAE-81FE-F20FA9CFDAFF}" name="Teacher Share (75%)" dataDxfId="216">
      <calculatedColumnFormula>Table25791113[[#This Row],[Fee Paid]]*75%</calculatedColumnFormula>
    </tableColumn>
    <tableColumn id="10" xr3:uid="{A9859852-B7D4-41A3-AB2B-45521C44FEDD}" name="Academy Share (25%)" dataDxfId="215">
      <calculatedColumnFormula>Table25791113[[#This Row],[Fee Paid]]*25%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3D7A62-13F8-447E-BFF8-A7E0428A712D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VIPpgvV4oHeOZWdisYNyt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4"/>
  <sheetViews>
    <sheetView zoomScaleNormal="100" workbookViewId="0">
      <selection activeCell="F5" sqref="F5"/>
    </sheetView>
  </sheetViews>
  <sheetFormatPr defaultColWidth="9.140625" defaultRowHeight="12.75" customHeight="1" x14ac:dyDescent="0.2"/>
  <cols>
    <col min="1" max="1" width="6.5703125" style="3" customWidth="1"/>
    <col min="2" max="2" width="15" style="3" customWidth="1"/>
    <col min="3" max="3" width="12.85546875" style="3" customWidth="1"/>
    <col min="4" max="4" width="10.7109375" style="3" customWidth="1"/>
    <col min="5" max="5" width="7.5703125" style="3" customWidth="1"/>
    <col min="6" max="6" width="7.85546875" style="3" customWidth="1"/>
    <col min="7" max="7" width="10.5703125" style="3" customWidth="1"/>
    <col min="8" max="8" width="9.5703125" style="3" customWidth="1"/>
    <col min="9" max="9" width="5.85546875" style="3" customWidth="1"/>
    <col min="10" max="10" width="5.5703125" style="3" customWidth="1"/>
    <col min="11" max="11" width="5.85546875" style="3" customWidth="1"/>
    <col min="12" max="12" width="11.140625" style="3" customWidth="1"/>
    <col min="13" max="13" width="15.7109375" style="3" customWidth="1"/>
    <col min="14" max="14" width="10.7109375" style="3" customWidth="1"/>
    <col min="15" max="15" width="8.42578125" style="3" customWidth="1"/>
    <col min="16" max="16" width="8" style="3" customWidth="1"/>
    <col min="17" max="17" width="12.140625" style="3" customWidth="1"/>
    <col min="18" max="18" width="8.7109375" style="3" customWidth="1"/>
    <col min="19" max="19" width="11.5703125" style="3" bestFit="1" customWidth="1"/>
    <col min="20" max="20" width="9.140625" style="3"/>
    <col min="21" max="21" width="11.28515625" style="3" customWidth="1"/>
    <col min="22" max="22" width="9.140625" style="3"/>
    <col min="23" max="23" width="13.7109375" style="3" customWidth="1"/>
    <col min="24" max="24" width="13" style="3" customWidth="1"/>
    <col min="25" max="25" width="16.5703125" style="3" customWidth="1"/>
    <col min="26" max="26" width="16.28515625" style="3" customWidth="1"/>
    <col min="27" max="27" width="12" style="3" customWidth="1"/>
    <col min="28" max="28" width="17.28515625" style="3" customWidth="1"/>
    <col min="29" max="29" width="15" style="3" customWidth="1"/>
    <col min="30" max="30" width="6.28515625" style="3" customWidth="1"/>
    <col min="31" max="31" width="14.85546875" style="3" customWidth="1"/>
    <col min="32" max="32" width="15.140625" style="3" customWidth="1"/>
    <col min="33" max="34" width="13.5703125" style="3" customWidth="1"/>
    <col min="35" max="35" width="13" style="3" customWidth="1"/>
    <col min="36" max="36" width="13.5703125" style="3" customWidth="1"/>
    <col min="37" max="37" width="9.140625" style="3"/>
    <col min="38" max="38" width="11" style="3" customWidth="1"/>
    <col min="39" max="39" width="14.140625" style="3" customWidth="1"/>
    <col min="40" max="40" width="19.28515625" style="3" customWidth="1"/>
    <col min="41" max="41" width="18" style="3" customWidth="1"/>
    <col min="42" max="42" width="9.140625" style="3"/>
    <col min="43" max="43" width="7.140625" style="3" customWidth="1"/>
    <col min="44" max="44" width="12.140625" style="3" customWidth="1"/>
    <col min="45" max="45" width="10.5703125" style="3" customWidth="1"/>
    <col min="46" max="46" width="13.5703125" style="3" customWidth="1"/>
    <col min="47" max="47" width="9.7109375" style="3" customWidth="1"/>
    <col min="48" max="48" width="10.5703125" style="3" customWidth="1"/>
    <col min="49" max="49" width="17.140625" style="3" customWidth="1"/>
    <col min="50" max="50" width="17.85546875" style="3" customWidth="1"/>
    <col min="51" max="51" width="9.140625" style="3"/>
    <col min="52" max="52" width="12.28515625" style="3" customWidth="1"/>
    <col min="53" max="53" width="15.5703125" style="3" customWidth="1"/>
    <col min="54" max="54" width="12" style="3" customWidth="1"/>
    <col min="55" max="55" width="23.85546875" style="3" customWidth="1"/>
    <col min="56" max="56" width="23.42578125" style="3" customWidth="1"/>
    <col min="57" max="57" width="11.5703125" style="3" customWidth="1"/>
    <col min="58" max="58" width="7.85546875" style="3" customWidth="1"/>
    <col min="59" max="59" width="9.140625" style="3"/>
    <col min="60" max="60" width="11.7109375" style="3" customWidth="1"/>
    <col min="61" max="61" width="11.140625" style="3" customWidth="1"/>
    <col min="62" max="62" width="11.42578125" style="3" customWidth="1"/>
    <col min="63" max="63" width="10.28515625" style="3" customWidth="1"/>
    <col min="64" max="64" width="10.5703125" style="3" customWidth="1"/>
    <col min="65" max="66" width="11.140625" style="3" customWidth="1"/>
    <col min="67" max="68" width="9.140625" style="3"/>
    <col min="69" max="70" width="13.42578125" style="3" customWidth="1"/>
    <col min="71" max="16384" width="9.140625" style="3"/>
  </cols>
  <sheetData>
    <row r="1" spans="1:51" ht="12.75" customHeight="1" x14ac:dyDescent="0.2">
      <c r="A1" s="302" t="s">
        <v>0</v>
      </c>
      <c r="B1" s="302"/>
      <c r="C1" s="302"/>
      <c r="D1" s="302"/>
      <c r="E1" s="302"/>
      <c r="F1" s="302"/>
      <c r="G1" s="302"/>
      <c r="H1" s="302"/>
      <c r="I1" s="54"/>
      <c r="K1" s="304" t="s">
        <v>0</v>
      </c>
      <c r="L1" s="304"/>
      <c r="M1" s="304"/>
      <c r="N1" s="304"/>
      <c r="O1" s="304"/>
      <c r="P1" s="304"/>
      <c r="Q1" s="304"/>
      <c r="R1" s="304"/>
      <c r="S1" s="4"/>
      <c r="T1" s="4"/>
      <c r="U1" s="4"/>
      <c r="V1" s="304" t="s">
        <v>0</v>
      </c>
      <c r="W1" s="304"/>
      <c r="X1" s="304"/>
      <c r="Y1" s="304"/>
      <c r="Z1" s="304"/>
      <c r="AA1" s="304"/>
      <c r="AB1" s="304"/>
      <c r="AC1" s="305"/>
      <c r="AD1" s="289"/>
      <c r="AF1" s="306" t="s">
        <v>0</v>
      </c>
      <c r="AG1" s="304"/>
      <c r="AH1" s="304"/>
      <c r="AI1" s="304"/>
      <c r="AJ1" s="304"/>
      <c r="AK1" s="304"/>
      <c r="AL1" s="304"/>
      <c r="AM1" s="305"/>
      <c r="AN1" s="4"/>
      <c r="AO1" s="4"/>
      <c r="AP1" s="4"/>
      <c r="AQ1" s="302" t="s">
        <v>0</v>
      </c>
      <c r="AR1" s="302"/>
      <c r="AS1" s="302"/>
      <c r="AT1" s="302"/>
      <c r="AU1" s="302"/>
      <c r="AV1" s="302"/>
      <c r="AW1" s="302"/>
      <c r="AX1" s="302"/>
      <c r="AY1" s="289"/>
    </row>
    <row r="2" spans="1:51" ht="12.75" customHeight="1" x14ac:dyDescent="0.2">
      <c r="A2" s="302"/>
      <c r="B2" s="302"/>
      <c r="C2" s="302"/>
      <c r="D2" s="302"/>
      <c r="E2" s="302"/>
      <c r="F2" s="302"/>
      <c r="G2" s="302"/>
      <c r="H2" s="302"/>
      <c r="I2" s="54"/>
      <c r="K2" s="304"/>
      <c r="L2" s="304"/>
      <c r="M2" s="304"/>
      <c r="N2" s="304"/>
      <c r="O2" s="304"/>
      <c r="P2" s="304"/>
      <c r="Q2" s="304"/>
      <c r="R2" s="304"/>
      <c r="S2" s="4"/>
      <c r="T2" s="4"/>
      <c r="U2" s="4"/>
      <c r="V2" s="304"/>
      <c r="W2" s="304"/>
      <c r="X2" s="304"/>
      <c r="Y2" s="304"/>
      <c r="Z2" s="304"/>
      <c r="AA2" s="304"/>
      <c r="AB2" s="304"/>
      <c r="AC2" s="305"/>
      <c r="AD2" s="289"/>
      <c r="AF2" s="306"/>
      <c r="AG2" s="304"/>
      <c r="AH2" s="304"/>
      <c r="AI2" s="304"/>
      <c r="AJ2" s="304"/>
      <c r="AK2" s="304"/>
      <c r="AL2" s="304"/>
      <c r="AM2" s="305"/>
      <c r="AN2" s="4"/>
      <c r="AO2" s="4"/>
      <c r="AP2" s="4"/>
      <c r="AQ2" s="302"/>
      <c r="AR2" s="302"/>
      <c r="AS2" s="302"/>
      <c r="AT2" s="302"/>
      <c r="AU2" s="302"/>
      <c r="AV2" s="302"/>
      <c r="AW2" s="302"/>
      <c r="AX2" s="302"/>
      <c r="AY2" s="289"/>
    </row>
    <row r="3" spans="1:51" ht="12.75" customHeight="1" x14ac:dyDescent="0.2">
      <c r="A3" s="303"/>
      <c r="B3" s="303"/>
      <c r="C3" s="303"/>
      <c r="D3" s="303"/>
      <c r="E3" s="303"/>
      <c r="F3" s="303"/>
      <c r="G3" s="303"/>
      <c r="H3" s="303"/>
      <c r="I3" s="54"/>
      <c r="K3" s="304"/>
      <c r="L3" s="304"/>
      <c r="M3" s="304"/>
      <c r="N3" s="304"/>
      <c r="O3" s="304"/>
      <c r="P3" s="304"/>
      <c r="Q3" s="304"/>
      <c r="R3" s="304"/>
      <c r="S3" s="4"/>
      <c r="T3" s="4"/>
      <c r="U3" s="4"/>
      <c r="V3" s="304"/>
      <c r="W3" s="304"/>
      <c r="X3" s="304"/>
      <c r="Y3" s="304"/>
      <c r="Z3" s="304"/>
      <c r="AA3" s="304"/>
      <c r="AB3" s="304"/>
      <c r="AC3" s="305"/>
      <c r="AD3" s="289"/>
      <c r="AF3" s="306"/>
      <c r="AG3" s="304"/>
      <c r="AH3" s="304"/>
      <c r="AI3" s="304"/>
      <c r="AJ3" s="304"/>
      <c r="AK3" s="304"/>
      <c r="AL3" s="304"/>
      <c r="AM3" s="305"/>
      <c r="AN3" s="4"/>
      <c r="AO3" s="4"/>
      <c r="AP3" s="4"/>
      <c r="AQ3" s="303"/>
      <c r="AR3" s="303"/>
      <c r="AS3" s="303"/>
      <c r="AT3" s="303"/>
      <c r="AU3" s="303"/>
      <c r="AV3" s="303"/>
      <c r="AW3" s="303"/>
      <c r="AX3" s="303"/>
      <c r="AY3" s="290"/>
    </row>
    <row r="4" spans="1:51" ht="12.75" customHeight="1" x14ac:dyDescent="0.2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291" t="s">
        <v>7</v>
      </c>
      <c r="H4" s="292"/>
      <c r="K4" s="5" t="s">
        <v>1</v>
      </c>
      <c r="L4" s="5" t="s">
        <v>2</v>
      </c>
      <c r="M4" s="5" t="s">
        <v>3</v>
      </c>
      <c r="N4" s="5" t="s">
        <v>4</v>
      </c>
      <c r="O4" s="5" t="s">
        <v>5</v>
      </c>
      <c r="P4" s="5" t="s">
        <v>6</v>
      </c>
      <c r="Q4" s="295" t="s">
        <v>8</v>
      </c>
      <c r="R4" s="295"/>
      <c r="S4" s="6"/>
      <c r="T4" s="6"/>
      <c r="U4" s="183"/>
      <c r="V4" s="5" t="s">
        <v>1</v>
      </c>
      <c r="W4" s="5" t="s">
        <v>2</v>
      </c>
      <c r="X4" s="5" t="s">
        <v>3</v>
      </c>
      <c r="Y4" s="5" t="s">
        <v>4</v>
      </c>
      <c r="Z4" s="5" t="s">
        <v>5</v>
      </c>
      <c r="AA4" s="5" t="s">
        <v>6</v>
      </c>
      <c r="AB4" s="295" t="s">
        <v>9</v>
      </c>
      <c r="AC4" s="295"/>
      <c r="AD4" s="6"/>
      <c r="AE4" s="6"/>
      <c r="AF4" s="7" t="s">
        <v>1</v>
      </c>
      <c r="AG4" s="5" t="s">
        <v>2</v>
      </c>
      <c r="AH4" s="5" t="s">
        <v>3</v>
      </c>
      <c r="AI4" s="5" t="s">
        <v>4</v>
      </c>
      <c r="AJ4" s="5" t="s">
        <v>5</v>
      </c>
      <c r="AK4" s="5" t="s">
        <v>6</v>
      </c>
      <c r="AL4" s="295" t="s">
        <v>10</v>
      </c>
      <c r="AM4" s="296"/>
      <c r="AP4" s="183"/>
      <c r="AQ4" s="5" t="s">
        <v>1</v>
      </c>
      <c r="AR4" s="5" t="s">
        <v>2</v>
      </c>
      <c r="AS4" s="5" t="s">
        <v>3</v>
      </c>
      <c r="AT4" s="5" t="s">
        <v>4</v>
      </c>
      <c r="AU4" s="5" t="s">
        <v>5</v>
      </c>
      <c r="AV4" s="5" t="s">
        <v>6</v>
      </c>
      <c r="AW4" s="298" t="s">
        <v>11</v>
      </c>
      <c r="AX4" s="299"/>
    </row>
    <row r="5" spans="1:51" ht="12.75" customHeight="1" x14ac:dyDescent="0.2">
      <c r="A5" s="1">
        <v>1</v>
      </c>
      <c r="B5" s="8" t="s">
        <v>12</v>
      </c>
      <c r="C5" s="9" t="s">
        <v>13</v>
      </c>
      <c r="D5" s="10">
        <v>45668</v>
      </c>
      <c r="E5" s="9">
        <v>2000</v>
      </c>
      <c r="F5" s="11">
        <v>2000</v>
      </c>
      <c r="G5" s="293"/>
      <c r="H5" s="294"/>
      <c r="K5" s="1">
        <v>2</v>
      </c>
      <c r="L5" s="12" t="s">
        <v>14</v>
      </c>
      <c r="M5" s="9" t="s">
        <v>15</v>
      </c>
      <c r="N5" s="10" t="s">
        <v>16</v>
      </c>
      <c r="O5" s="9">
        <v>3000</v>
      </c>
      <c r="P5" s="11">
        <v>3000</v>
      </c>
      <c r="Q5" s="295"/>
      <c r="R5" s="295"/>
      <c r="V5" s="1"/>
      <c r="W5" s="13"/>
      <c r="X5" s="9"/>
      <c r="Y5" s="9"/>
      <c r="Z5" s="9"/>
      <c r="AA5" s="9"/>
      <c r="AB5" s="295"/>
      <c r="AC5" s="295"/>
      <c r="AF5" s="14">
        <v>1</v>
      </c>
      <c r="AG5" s="13" t="s">
        <v>17</v>
      </c>
      <c r="AH5" s="9" t="s">
        <v>18</v>
      </c>
      <c r="AI5" s="9" t="s">
        <v>19</v>
      </c>
      <c r="AJ5" s="9">
        <v>1500</v>
      </c>
      <c r="AK5" s="9">
        <v>1500</v>
      </c>
      <c r="AL5" s="297"/>
      <c r="AM5" s="296"/>
      <c r="AQ5" s="1">
        <v>1</v>
      </c>
      <c r="AR5" s="15" t="s">
        <v>20</v>
      </c>
      <c r="AS5" s="9" t="s">
        <v>21</v>
      </c>
      <c r="AT5" s="10">
        <v>45971</v>
      </c>
      <c r="AU5" s="9">
        <v>1000</v>
      </c>
      <c r="AV5" s="9"/>
      <c r="AW5" s="300"/>
      <c r="AX5" s="301"/>
    </row>
    <row r="6" spans="1:51" ht="12.75" customHeight="1" x14ac:dyDescent="0.2">
      <c r="A6" s="1">
        <v>2</v>
      </c>
      <c r="B6" s="16" t="s">
        <v>22</v>
      </c>
      <c r="C6" s="181" t="s">
        <v>23</v>
      </c>
      <c r="D6" s="17">
        <v>45849</v>
      </c>
      <c r="E6" s="181">
        <v>1000</v>
      </c>
      <c r="F6" s="11">
        <v>1000</v>
      </c>
      <c r="G6" s="307" t="s">
        <v>24</v>
      </c>
      <c r="H6" s="307"/>
      <c r="K6" s="1">
        <v>3</v>
      </c>
      <c r="L6" s="12" t="s">
        <v>20</v>
      </c>
      <c r="M6" s="18" t="s">
        <v>25</v>
      </c>
      <c r="N6" s="10">
        <v>46823</v>
      </c>
      <c r="O6" s="9">
        <v>1000</v>
      </c>
      <c r="P6" s="11">
        <v>1000</v>
      </c>
      <c r="Q6" s="307" t="s">
        <v>24</v>
      </c>
      <c r="R6" s="308"/>
      <c r="V6" s="1"/>
      <c r="W6" s="8"/>
      <c r="X6" s="9"/>
      <c r="Y6" s="9"/>
      <c r="Z6" s="9"/>
      <c r="AA6" s="9"/>
      <c r="AB6" s="307" t="s">
        <v>24</v>
      </c>
      <c r="AC6" s="307"/>
      <c r="AF6" s="1">
        <v>2</v>
      </c>
      <c r="AG6" s="8" t="s">
        <v>26</v>
      </c>
      <c r="AH6" s="9" t="s">
        <v>27</v>
      </c>
      <c r="AI6" s="10">
        <v>45667</v>
      </c>
      <c r="AJ6" s="9">
        <v>4500</v>
      </c>
      <c r="AK6" s="9">
        <v>2500</v>
      </c>
      <c r="AL6" s="307" t="s">
        <v>24</v>
      </c>
      <c r="AM6" s="308"/>
      <c r="AQ6" s="1">
        <v>2</v>
      </c>
      <c r="AR6" s="15" t="s">
        <v>28</v>
      </c>
      <c r="AS6" s="9" t="s">
        <v>21</v>
      </c>
      <c r="AT6" s="10">
        <v>45972</v>
      </c>
      <c r="AU6" s="9">
        <v>1500</v>
      </c>
      <c r="AV6" s="9"/>
      <c r="AW6" s="307" t="s">
        <v>24</v>
      </c>
      <c r="AX6" s="307"/>
    </row>
    <row r="7" spans="1:51" ht="12.75" customHeight="1" x14ac:dyDescent="0.25">
      <c r="A7" s="1">
        <v>4</v>
      </c>
      <c r="B7" s="1" t="s">
        <v>29</v>
      </c>
      <c r="C7" s="9"/>
      <c r="D7" s="9"/>
      <c r="E7" s="9">
        <v>500</v>
      </c>
      <c r="F7" s="9">
        <v>500</v>
      </c>
      <c r="G7" s="307"/>
      <c r="H7" s="307"/>
      <c r="K7" s="1">
        <v>4</v>
      </c>
      <c r="L7" s="19" t="s">
        <v>30</v>
      </c>
      <c r="M7" s="20" t="s">
        <v>31</v>
      </c>
      <c r="N7" s="21" t="s">
        <v>32</v>
      </c>
      <c r="O7" s="22">
        <v>1000</v>
      </c>
      <c r="P7" s="62">
        <v>1000</v>
      </c>
      <c r="Q7" s="307"/>
      <c r="R7" s="308"/>
      <c r="V7" s="1"/>
      <c r="W7" s="16"/>
      <c r="X7" s="9"/>
      <c r="Y7" s="9"/>
      <c r="Z7" s="9"/>
      <c r="AA7" s="9"/>
      <c r="AB7" s="307"/>
      <c r="AC7" s="307"/>
      <c r="AF7" s="1">
        <v>3</v>
      </c>
      <c r="AG7" s="23" t="s">
        <v>33</v>
      </c>
      <c r="AH7" s="13" t="s">
        <v>34</v>
      </c>
      <c r="AI7" s="9" t="s">
        <v>35</v>
      </c>
      <c r="AJ7" s="9">
        <v>1000</v>
      </c>
      <c r="AK7" s="181">
        <v>1000</v>
      </c>
      <c r="AL7" s="307"/>
      <c r="AM7" s="307"/>
      <c r="AQ7" s="1">
        <v>3</v>
      </c>
      <c r="AR7" s="24" t="s">
        <v>36</v>
      </c>
      <c r="AS7" s="9" t="s">
        <v>21</v>
      </c>
      <c r="AT7" s="10">
        <v>45973</v>
      </c>
      <c r="AU7" s="25">
        <v>500</v>
      </c>
      <c r="AV7" s="9"/>
      <c r="AW7" s="307"/>
      <c r="AX7" s="307"/>
    </row>
    <row r="8" spans="1:51" ht="12.75" customHeight="1" x14ac:dyDescent="0.2">
      <c r="A8" s="1">
        <v>5</v>
      </c>
      <c r="B8" s="13"/>
      <c r="C8" s="9"/>
      <c r="D8" s="9"/>
      <c r="E8" s="9"/>
      <c r="F8" s="9"/>
      <c r="G8" s="26" t="s">
        <v>37</v>
      </c>
      <c r="H8" s="27">
        <f>SUM(E5:E9)</f>
        <v>3500</v>
      </c>
      <c r="K8" s="28">
        <v>5</v>
      </c>
      <c r="L8" s="12" t="s">
        <v>33</v>
      </c>
      <c r="M8" s="18" t="s">
        <v>15</v>
      </c>
      <c r="N8" s="8" t="s">
        <v>38</v>
      </c>
      <c r="O8" s="9">
        <v>3000</v>
      </c>
      <c r="P8" s="11">
        <v>3000</v>
      </c>
      <c r="Q8" s="29" t="s">
        <v>37</v>
      </c>
      <c r="R8" s="30">
        <f>SUM(O5:O19)</f>
        <v>12000</v>
      </c>
      <c r="V8" s="1"/>
      <c r="W8" s="31"/>
      <c r="X8" s="9"/>
      <c r="Y8" s="9"/>
      <c r="Z8" s="9"/>
      <c r="AA8" s="9"/>
      <c r="AB8" s="26" t="s">
        <v>37</v>
      </c>
      <c r="AC8" s="27">
        <f>SUM(Z5:Z13)</f>
        <v>0</v>
      </c>
      <c r="AF8" s="1"/>
      <c r="AG8" s="13"/>
      <c r="AH8" s="13"/>
      <c r="AI8" s="9"/>
      <c r="AJ8" s="9"/>
      <c r="AK8" s="9"/>
      <c r="AL8" s="26" t="s">
        <v>37</v>
      </c>
      <c r="AM8" s="27">
        <f>SUM(AJ5:AJ14)</f>
        <v>7000</v>
      </c>
      <c r="AQ8" s="1">
        <v>4</v>
      </c>
      <c r="AR8" s="32"/>
      <c r="AS8" s="181"/>
      <c r="AT8" s="17"/>
      <c r="AU8" s="25"/>
      <c r="AV8" s="9"/>
      <c r="AW8" s="26" t="s">
        <v>37</v>
      </c>
      <c r="AX8" s="27">
        <f t="shared" ref="AX8" si="0">SUM(AU5:AU17)</f>
        <v>3000</v>
      </c>
    </row>
    <row r="9" spans="1:51" ht="12.75" customHeight="1" x14ac:dyDescent="0.2">
      <c r="A9" s="34">
        <v>6</v>
      </c>
      <c r="B9" s="13"/>
      <c r="C9" s="13"/>
      <c r="D9" s="9"/>
      <c r="E9" s="9"/>
      <c r="F9" s="9"/>
      <c r="G9" s="26" t="s">
        <v>39</v>
      </c>
      <c r="H9" s="27">
        <f>SUM(F5:F9)</f>
        <v>3500</v>
      </c>
      <c r="K9" s="28">
        <v>6</v>
      </c>
      <c r="L9" s="12" t="s">
        <v>40</v>
      </c>
      <c r="M9" s="18" t="s">
        <v>41</v>
      </c>
      <c r="N9" s="33">
        <v>45669</v>
      </c>
      <c r="O9" s="9">
        <v>1000</v>
      </c>
      <c r="P9" s="11">
        <v>1000</v>
      </c>
      <c r="Q9" s="29" t="s">
        <v>39</v>
      </c>
      <c r="R9" s="30">
        <f>SUM(P5:P20)</f>
        <v>12000</v>
      </c>
      <c r="V9" s="1"/>
      <c r="W9" s="13"/>
      <c r="X9" s="13"/>
      <c r="Y9" s="9" t="s">
        <v>42</v>
      </c>
      <c r="Z9" s="9"/>
      <c r="AA9" s="9"/>
      <c r="AB9" s="26" t="s">
        <v>39</v>
      </c>
      <c r="AC9" s="27">
        <f>SUM(AA5:AA23)</f>
        <v>0</v>
      </c>
      <c r="AF9" s="1"/>
      <c r="AG9" s="13"/>
      <c r="AH9" s="13"/>
      <c r="AI9" s="9"/>
      <c r="AJ9" s="9"/>
      <c r="AK9" s="9"/>
      <c r="AL9" s="26" t="s">
        <v>39</v>
      </c>
      <c r="AM9" s="27">
        <f>SUM(AK5:AK23)</f>
        <v>5000</v>
      </c>
      <c r="AQ9" s="1">
        <v>5</v>
      </c>
      <c r="AR9" s="8"/>
      <c r="AS9" s="9"/>
      <c r="AT9" s="10"/>
      <c r="AU9" s="9"/>
      <c r="AV9" s="9"/>
      <c r="AW9" s="26" t="s">
        <v>39</v>
      </c>
      <c r="AX9" s="27">
        <f t="shared" ref="AX9" si="1">SUM(AV5:AV17)</f>
        <v>0</v>
      </c>
    </row>
    <row r="10" spans="1:51" s="36" customFormat="1" ht="12.75" customHeight="1" x14ac:dyDescent="0.2">
      <c r="A10" s="1">
        <v>7</v>
      </c>
      <c r="B10" s="8"/>
      <c r="C10" s="8"/>
      <c r="D10" s="8"/>
      <c r="E10" s="8"/>
      <c r="F10" s="9"/>
      <c r="G10" s="35"/>
      <c r="H10" s="35"/>
      <c r="K10" s="37">
        <v>7</v>
      </c>
      <c r="L10" s="38" t="s">
        <v>43</v>
      </c>
      <c r="M10" s="11" t="s">
        <v>44</v>
      </c>
      <c r="N10" s="65">
        <v>46235</v>
      </c>
      <c r="O10" s="11">
        <v>3000</v>
      </c>
      <c r="P10" s="11">
        <v>3000</v>
      </c>
      <c r="Q10" s="39"/>
      <c r="R10" s="40"/>
      <c r="V10" s="34"/>
      <c r="W10" s="35"/>
      <c r="X10" s="35"/>
      <c r="Y10" s="35"/>
      <c r="Z10" s="35"/>
      <c r="AA10" s="181"/>
      <c r="AB10" s="41" t="s">
        <v>45</v>
      </c>
      <c r="AC10" s="42">
        <f>AC8-AC9</f>
        <v>0</v>
      </c>
      <c r="AF10" s="34"/>
      <c r="AG10" s="35"/>
      <c r="AH10" s="35"/>
      <c r="AI10" s="35"/>
      <c r="AJ10" s="35"/>
      <c r="AK10" s="181"/>
      <c r="AL10" s="41" t="s">
        <v>45</v>
      </c>
      <c r="AM10" s="42">
        <f>SUM(AK5:AK11)</f>
        <v>5000</v>
      </c>
      <c r="AQ10" s="34">
        <v>6</v>
      </c>
      <c r="AR10" s="8"/>
      <c r="AS10" s="35"/>
      <c r="AT10" s="43"/>
      <c r="AU10" s="181"/>
      <c r="AV10" s="181"/>
      <c r="AW10" s="35"/>
      <c r="AX10" s="35"/>
    </row>
    <row r="11" spans="1:51" ht="12.75" customHeight="1" x14ac:dyDescent="0.2">
      <c r="A11" s="1">
        <v>8</v>
      </c>
      <c r="B11" s="8"/>
      <c r="C11" s="8"/>
      <c r="D11" s="8"/>
      <c r="E11" s="8"/>
      <c r="F11" s="9"/>
      <c r="G11" s="8"/>
      <c r="H11" s="8"/>
      <c r="K11" s="28">
        <v>8</v>
      </c>
      <c r="L11" s="8"/>
      <c r="M11" s="8"/>
      <c r="N11" s="8"/>
      <c r="O11" s="9"/>
      <c r="P11" s="9"/>
      <c r="Q11" s="44"/>
      <c r="R11" s="45"/>
      <c r="V11" s="1"/>
      <c r="W11" s="13"/>
      <c r="X11" s="13"/>
      <c r="Y11" s="9"/>
      <c r="Z11" s="9"/>
      <c r="AA11" s="9"/>
      <c r="AB11" s="8"/>
      <c r="AC11" s="8"/>
      <c r="AF11" s="1"/>
      <c r="AG11" s="13"/>
      <c r="AH11" s="13"/>
      <c r="AI11" s="9"/>
      <c r="AJ11" s="9"/>
      <c r="AK11" s="9"/>
      <c r="AL11" s="8"/>
      <c r="AM11" s="8"/>
      <c r="AQ11" s="1">
        <v>7</v>
      </c>
      <c r="AR11" s="8"/>
      <c r="AS11" s="8"/>
      <c r="AT11" s="10"/>
      <c r="AU11" s="9"/>
      <c r="AV11" s="9"/>
      <c r="AW11" s="8"/>
      <c r="AX11" s="8"/>
    </row>
    <row r="12" spans="1:51" ht="12.75" customHeight="1" x14ac:dyDescent="0.2">
      <c r="A12" s="1">
        <v>9</v>
      </c>
      <c r="B12" s="8"/>
      <c r="C12" s="8"/>
      <c r="D12" s="8"/>
      <c r="E12" s="8"/>
      <c r="F12" s="9"/>
      <c r="G12" s="309" t="s">
        <v>46</v>
      </c>
      <c r="H12" s="309"/>
      <c r="K12" s="28">
        <v>9</v>
      </c>
      <c r="L12" s="46"/>
      <c r="M12" s="46"/>
      <c r="N12" s="46"/>
      <c r="O12" s="46"/>
      <c r="P12" s="47"/>
      <c r="Q12" s="310" t="s">
        <v>46</v>
      </c>
      <c r="R12" s="311"/>
      <c r="V12" s="1"/>
      <c r="W12" s="8"/>
      <c r="X12" s="8"/>
      <c r="Y12" s="8"/>
      <c r="Z12" s="8"/>
      <c r="AA12" s="9"/>
      <c r="AB12" s="309" t="s">
        <v>46</v>
      </c>
      <c r="AC12" s="309"/>
      <c r="AF12" s="1"/>
      <c r="AG12" s="8"/>
      <c r="AH12" s="8"/>
      <c r="AI12" s="8"/>
      <c r="AJ12" s="8"/>
      <c r="AK12" s="9"/>
      <c r="AL12" s="309" t="s">
        <v>46</v>
      </c>
      <c r="AM12" s="309"/>
      <c r="AQ12" s="1">
        <v>8</v>
      </c>
      <c r="AR12" s="8"/>
      <c r="AS12" s="8"/>
      <c r="AT12" s="10"/>
      <c r="AU12" s="9"/>
      <c r="AV12" s="9"/>
      <c r="AW12" s="309" t="s">
        <v>46</v>
      </c>
      <c r="AX12" s="309"/>
    </row>
    <row r="13" spans="1:51" ht="12.75" customHeight="1" x14ac:dyDescent="0.2">
      <c r="A13" s="1"/>
      <c r="B13" s="8"/>
      <c r="C13" s="8"/>
      <c r="D13" s="8"/>
      <c r="E13" s="8"/>
      <c r="F13" s="9"/>
      <c r="G13" s="309"/>
      <c r="H13" s="309"/>
      <c r="K13" s="1">
        <v>10</v>
      </c>
      <c r="L13" s="8"/>
      <c r="M13" s="8"/>
      <c r="N13" s="8"/>
      <c r="O13" s="8"/>
      <c r="P13" s="9"/>
      <c r="Q13" s="309"/>
      <c r="R13" s="311"/>
      <c r="V13" s="1"/>
      <c r="W13" s="8"/>
      <c r="X13" s="8"/>
      <c r="Y13" s="8"/>
      <c r="Z13" s="8"/>
      <c r="AA13" s="9"/>
      <c r="AB13" s="309"/>
      <c r="AC13" s="309"/>
      <c r="AF13" s="1"/>
      <c r="AG13" s="8"/>
      <c r="AH13" s="8"/>
      <c r="AI13" s="8"/>
      <c r="AJ13" s="8"/>
      <c r="AK13" s="9"/>
      <c r="AL13" s="309"/>
      <c r="AM13" s="309"/>
      <c r="AQ13" s="1">
        <v>9</v>
      </c>
      <c r="AR13" s="8"/>
      <c r="AS13" s="13"/>
      <c r="AT13" s="9"/>
      <c r="AU13" s="9"/>
      <c r="AV13" s="9"/>
      <c r="AW13" s="309"/>
      <c r="AX13" s="309"/>
    </row>
    <row r="14" spans="1:51" ht="12.75" customHeight="1" x14ac:dyDescent="0.2">
      <c r="A14" s="1"/>
      <c r="B14" s="8"/>
      <c r="C14" s="8"/>
      <c r="D14" s="8"/>
      <c r="E14" s="8"/>
      <c r="F14" s="9"/>
      <c r="G14" s="312">
        <f>H9*70/100</f>
        <v>2450</v>
      </c>
      <c r="H14" s="313"/>
      <c r="K14" s="1">
        <v>11</v>
      </c>
      <c r="L14" s="8"/>
      <c r="M14" s="8"/>
      <c r="N14" s="8"/>
      <c r="O14" s="8"/>
      <c r="P14" s="9"/>
      <c r="Q14" s="316">
        <f>R9*70/100</f>
        <v>8400</v>
      </c>
      <c r="R14" s="317"/>
      <c r="V14" s="1"/>
      <c r="W14" s="8"/>
      <c r="X14" s="8"/>
      <c r="Y14" s="8"/>
      <c r="Z14" s="8"/>
      <c r="AA14" s="9"/>
      <c r="AB14" s="316">
        <f>AC9*70/100</f>
        <v>0</v>
      </c>
      <c r="AC14" s="316"/>
      <c r="AF14" s="1"/>
      <c r="AG14" s="8"/>
      <c r="AH14" s="8"/>
      <c r="AI14" s="8"/>
      <c r="AJ14" s="8"/>
      <c r="AK14" s="9"/>
      <c r="AL14" s="316">
        <f>AM9*70/100</f>
        <v>3500</v>
      </c>
      <c r="AM14" s="316"/>
      <c r="AQ14" s="1"/>
      <c r="AR14" s="8"/>
      <c r="AS14" s="8"/>
      <c r="AT14" s="9"/>
      <c r="AU14" s="9"/>
      <c r="AV14" s="9"/>
      <c r="AW14" s="312">
        <f t="shared" ref="AW14" si="2">AX9*70/100</f>
        <v>0</v>
      </c>
      <c r="AX14" s="313"/>
    </row>
    <row r="15" spans="1:51" ht="12.75" customHeight="1" x14ac:dyDescent="0.2">
      <c r="A15" s="1"/>
      <c r="B15" s="8"/>
      <c r="C15" s="8"/>
      <c r="D15" s="8"/>
      <c r="E15" s="8"/>
      <c r="F15" s="9"/>
      <c r="G15" s="314"/>
      <c r="H15" s="315"/>
      <c r="K15" s="1"/>
      <c r="L15" s="8"/>
      <c r="M15" s="8"/>
      <c r="N15" s="8"/>
      <c r="O15" s="8"/>
      <c r="P15" s="9"/>
      <c r="Q15" s="316"/>
      <c r="R15" s="317"/>
      <c r="S15" s="48"/>
      <c r="V15" s="1"/>
      <c r="W15" s="8"/>
      <c r="X15" s="8"/>
      <c r="Y15" s="8"/>
      <c r="Z15" s="8"/>
      <c r="AA15" s="9"/>
      <c r="AB15" s="316"/>
      <c r="AC15" s="316"/>
      <c r="AF15" s="1"/>
      <c r="AG15" s="8"/>
      <c r="AH15" s="8"/>
      <c r="AI15" s="8"/>
      <c r="AJ15" s="8"/>
      <c r="AK15" s="9"/>
      <c r="AL15" s="316"/>
      <c r="AM15" s="316"/>
      <c r="AQ15" s="1"/>
      <c r="AR15" s="1"/>
      <c r="AS15" s="8"/>
      <c r="AT15" s="9"/>
      <c r="AU15" s="8"/>
      <c r="AV15" s="9"/>
      <c r="AW15" s="314"/>
      <c r="AX15" s="315"/>
    </row>
    <row r="16" spans="1:51" ht="12.75" customHeight="1" x14ac:dyDescent="0.2">
      <c r="A16" s="1"/>
      <c r="B16" s="8"/>
      <c r="C16" s="8"/>
      <c r="D16" s="8"/>
      <c r="E16" s="8"/>
      <c r="F16" s="9"/>
      <c r="G16" s="8"/>
      <c r="H16" s="8"/>
      <c r="K16" s="1"/>
      <c r="L16" s="8"/>
      <c r="M16" s="8"/>
      <c r="N16" s="8"/>
      <c r="O16" s="8"/>
      <c r="P16" s="9"/>
      <c r="Q16" s="8"/>
      <c r="R16" s="45"/>
      <c r="V16" s="1"/>
      <c r="W16" s="8"/>
      <c r="X16" s="8"/>
      <c r="Y16" s="8"/>
      <c r="Z16" s="8"/>
      <c r="AA16" s="9"/>
      <c r="AB16" s="8"/>
      <c r="AC16" s="8"/>
      <c r="AF16" s="1"/>
      <c r="AG16" s="8"/>
      <c r="AH16" s="8"/>
      <c r="AI16" s="8"/>
      <c r="AJ16" s="8"/>
      <c r="AK16" s="9"/>
      <c r="AL16" s="8"/>
      <c r="AM16" s="8"/>
      <c r="AQ16" s="1"/>
      <c r="AR16" s="13"/>
      <c r="AS16" s="13"/>
      <c r="AT16" s="9"/>
      <c r="AU16" s="9"/>
      <c r="AV16" s="9"/>
      <c r="AW16" s="8"/>
      <c r="AX16" s="8"/>
    </row>
    <row r="17" spans="1:50" ht="12.75" customHeight="1" x14ac:dyDescent="0.2">
      <c r="A17" s="1"/>
      <c r="B17" s="8"/>
      <c r="C17" s="8"/>
      <c r="D17" s="8"/>
      <c r="E17" s="8"/>
      <c r="F17" s="9"/>
      <c r="G17" s="8"/>
      <c r="H17" s="8"/>
      <c r="K17" s="9"/>
      <c r="L17" s="8"/>
      <c r="M17" s="8"/>
      <c r="N17" s="8"/>
      <c r="O17" s="8"/>
      <c r="P17" s="9"/>
      <c r="Q17" s="8"/>
      <c r="R17" s="45"/>
      <c r="V17" s="9"/>
      <c r="W17" s="8"/>
      <c r="X17" s="8"/>
      <c r="Y17" s="8"/>
      <c r="Z17" s="8"/>
      <c r="AA17" s="9"/>
      <c r="AB17" s="8"/>
      <c r="AC17" s="8"/>
      <c r="AF17" s="9"/>
      <c r="AG17" s="8"/>
      <c r="AH17" s="8"/>
      <c r="AI17" s="8"/>
      <c r="AJ17" s="8"/>
      <c r="AK17" s="9"/>
      <c r="AL17" s="8"/>
      <c r="AM17" s="8"/>
      <c r="AQ17" s="1"/>
      <c r="AR17" s="13"/>
      <c r="AS17" s="13"/>
      <c r="AT17" s="9"/>
      <c r="AU17" s="9"/>
      <c r="AV17" s="9"/>
      <c r="AW17" s="8"/>
      <c r="AX17" s="8"/>
    </row>
    <row r="18" spans="1:50" ht="12.75" customHeight="1" x14ac:dyDescent="0.2">
      <c r="A18" s="1"/>
      <c r="B18" s="8"/>
      <c r="C18" s="8"/>
      <c r="D18" s="8"/>
      <c r="E18" s="8"/>
      <c r="F18" s="9"/>
      <c r="G18" s="309" t="s">
        <v>47</v>
      </c>
      <c r="H18" s="309"/>
      <c r="K18" s="9"/>
      <c r="L18" s="8"/>
      <c r="M18" s="8"/>
      <c r="N18" s="8"/>
      <c r="O18" s="8"/>
      <c r="P18" s="9"/>
      <c r="Q18" s="309" t="s">
        <v>47</v>
      </c>
      <c r="R18" s="311"/>
      <c r="V18" s="9"/>
      <c r="W18" s="8"/>
      <c r="X18" s="8"/>
      <c r="Y18" s="8"/>
      <c r="Z18" s="8"/>
      <c r="AA18" s="9"/>
      <c r="AB18" s="309" t="s">
        <v>47</v>
      </c>
      <c r="AC18" s="309"/>
      <c r="AF18" s="9"/>
      <c r="AG18" s="8"/>
      <c r="AH18" s="8"/>
      <c r="AI18" s="8"/>
      <c r="AJ18" s="8"/>
      <c r="AK18" s="9"/>
      <c r="AL18" s="309" t="s">
        <v>47</v>
      </c>
      <c r="AM18" s="309"/>
      <c r="AQ18" s="1"/>
      <c r="AR18" s="8"/>
      <c r="AS18" s="8"/>
      <c r="AT18" s="8"/>
      <c r="AU18" s="8"/>
      <c r="AV18" s="9"/>
      <c r="AW18" s="309" t="s">
        <v>47</v>
      </c>
      <c r="AX18" s="309"/>
    </row>
    <row r="19" spans="1:50" ht="12.75" customHeight="1" x14ac:dyDescent="0.2">
      <c r="A19" s="1"/>
      <c r="B19" s="8"/>
      <c r="C19" s="8"/>
      <c r="D19" s="8"/>
      <c r="E19" s="8"/>
      <c r="F19" s="9"/>
      <c r="G19" s="309"/>
      <c r="H19" s="309"/>
      <c r="K19" s="9"/>
      <c r="L19" s="8"/>
      <c r="M19" s="8"/>
      <c r="N19" s="8"/>
      <c r="O19" s="8"/>
      <c r="P19" s="9"/>
      <c r="Q19" s="309"/>
      <c r="R19" s="311"/>
      <c r="V19" s="9"/>
      <c r="W19" s="8"/>
      <c r="X19" s="8"/>
      <c r="Y19" s="8"/>
      <c r="Z19" s="8"/>
      <c r="AA19" s="9"/>
      <c r="AB19" s="309"/>
      <c r="AC19" s="309"/>
      <c r="AF19" s="9"/>
      <c r="AG19" s="8"/>
      <c r="AH19" s="8"/>
      <c r="AI19" s="8"/>
      <c r="AJ19" s="8"/>
      <c r="AK19" s="9"/>
      <c r="AL19" s="309"/>
      <c r="AM19" s="309"/>
      <c r="AQ19" s="1"/>
      <c r="AR19" s="8"/>
      <c r="AS19" s="8"/>
      <c r="AT19" s="8"/>
      <c r="AU19" s="8"/>
      <c r="AV19" s="9"/>
      <c r="AW19" s="309"/>
      <c r="AX19" s="309"/>
    </row>
    <row r="20" spans="1:50" ht="12.75" customHeight="1" x14ac:dyDescent="0.2">
      <c r="A20" s="1"/>
      <c r="B20" s="8"/>
      <c r="C20" s="8"/>
      <c r="D20" s="8"/>
      <c r="E20" s="8"/>
      <c r="F20" s="9"/>
      <c r="G20" s="316">
        <f>H9*30/100</f>
        <v>1050</v>
      </c>
      <c r="H20" s="316"/>
      <c r="K20" s="9"/>
      <c r="L20" s="13"/>
      <c r="M20" s="13"/>
      <c r="N20" s="9"/>
      <c r="O20" s="181"/>
      <c r="P20" s="9"/>
      <c r="Q20" s="316">
        <f>R9*30/100</f>
        <v>3600</v>
      </c>
      <c r="R20" s="317"/>
      <c r="V20" s="9"/>
      <c r="W20" s="8"/>
      <c r="X20" s="8"/>
      <c r="Y20" s="8"/>
      <c r="Z20" s="8"/>
      <c r="AA20" s="9"/>
      <c r="AB20" s="316">
        <f>AC9*30/100</f>
        <v>0</v>
      </c>
      <c r="AC20" s="316"/>
      <c r="AF20" s="9"/>
      <c r="AG20" s="8"/>
      <c r="AH20" s="8"/>
      <c r="AI20" s="8"/>
      <c r="AJ20" s="8"/>
      <c r="AK20" s="9"/>
      <c r="AL20" s="316">
        <f>AM9*30/100</f>
        <v>1500</v>
      </c>
      <c r="AM20" s="316"/>
      <c r="AQ20" s="1"/>
      <c r="AR20" s="8"/>
      <c r="AS20" s="8"/>
      <c r="AT20" s="8"/>
      <c r="AU20" s="8"/>
      <c r="AV20" s="9"/>
      <c r="AW20" s="316">
        <f t="shared" ref="AW20" si="3">AX9*30/100</f>
        <v>0</v>
      </c>
      <c r="AX20" s="316"/>
    </row>
    <row r="21" spans="1:50" ht="12.75" customHeight="1" x14ac:dyDescent="0.2">
      <c r="A21" s="1"/>
      <c r="B21" s="8"/>
      <c r="C21" s="8"/>
      <c r="D21" s="9"/>
      <c r="E21" s="9"/>
      <c r="F21" s="9"/>
      <c r="G21" s="316"/>
      <c r="H21" s="316"/>
      <c r="K21" s="9"/>
      <c r="L21" s="13"/>
      <c r="M21" s="49"/>
      <c r="N21" s="9"/>
      <c r="O21" s="9"/>
      <c r="P21" s="9"/>
      <c r="Q21" s="316"/>
      <c r="R21" s="317"/>
      <c r="V21" s="9"/>
      <c r="W21" s="8"/>
      <c r="X21" s="8"/>
      <c r="Y21" s="8"/>
      <c r="Z21" s="8"/>
      <c r="AA21" s="9"/>
      <c r="AB21" s="316"/>
      <c r="AC21" s="316"/>
      <c r="AF21" s="9"/>
      <c r="AG21" s="8"/>
      <c r="AH21" s="8"/>
      <c r="AI21" s="8"/>
      <c r="AJ21" s="8"/>
      <c r="AK21" s="9"/>
      <c r="AL21" s="316"/>
      <c r="AM21" s="316"/>
      <c r="AQ21" s="1"/>
      <c r="AR21" s="8"/>
      <c r="AS21" s="8"/>
      <c r="AT21" s="8"/>
      <c r="AU21" s="8"/>
      <c r="AV21" s="9"/>
      <c r="AW21" s="316"/>
      <c r="AX21" s="316"/>
    </row>
    <row r="22" spans="1:50" ht="12.75" customHeight="1" x14ac:dyDescent="0.2">
      <c r="A22" s="1"/>
      <c r="B22" s="13"/>
      <c r="C22" s="13"/>
      <c r="D22" s="9"/>
      <c r="E22" s="9"/>
      <c r="F22" s="9"/>
      <c r="G22" s="8"/>
      <c r="H22" s="8"/>
      <c r="K22" s="8"/>
      <c r="L22" s="8"/>
      <c r="M22" s="50"/>
      <c r="N22" s="9"/>
      <c r="O22" s="9"/>
      <c r="P22" s="9"/>
      <c r="Q22" s="8"/>
      <c r="R22" s="45"/>
      <c r="V22" s="8"/>
      <c r="W22" s="8"/>
      <c r="X22" s="8"/>
      <c r="Y22" s="8"/>
      <c r="Z22" s="8"/>
      <c r="AA22" s="9"/>
      <c r="AB22" s="8"/>
      <c r="AC22" s="8"/>
      <c r="AF22" s="8"/>
      <c r="AG22" s="8"/>
      <c r="AH22" s="8"/>
      <c r="AI22" s="8"/>
      <c r="AJ22" s="8"/>
      <c r="AK22" s="9"/>
      <c r="AL22" s="8"/>
      <c r="AM22" s="8"/>
      <c r="AQ22" s="1"/>
      <c r="AR22" s="8"/>
      <c r="AS22" s="8"/>
      <c r="AT22" s="8"/>
      <c r="AU22" s="8"/>
      <c r="AV22" s="9"/>
      <c r="AW22" s="8"/>
      <c r="AX22" s="8"/>
    </row>
    <row r="23" spans="1:50" ht="12.75" customHeight="1" x14ac:dyDescent="0.2">
      <c r="A23" s="9"/>
      <c r="B23" s="8"/>
      <c r="C23" s="8"/>
      <c r="D23" s="8"/>
      <c r="E23" s="8"/>
      <c r="F23" s="9"/>
      <c r="G23" s="8"/>
      <c r="H23" s="8"/>
      <c r="K23" s="9"/>
      <c r="L23" s="8"/>
      <c r="M23" s="18"/>
      <c r="N23" s="8"/>
      <c r="O23" s="9"/>
      <c r="P23" s="9"/>
      <c r="Q23" s="8"/>
      <c r="R23" s="45"/>
      <c r="V23" s="9"/>
      <c r="W23" s="13"/>
      <c r="X23" s="13"/>
      <c r="Y23" s="9"/>
      <c r="Z23" s="181"/>
      <c r="AA23" s="9"/>
      <c r="AB23" s="8"/>
      <c r="AC23" s="8"/>
      <c r="AF23" s="9"/>
      <c r="AG23" s="13"/>
      <c r="AH23" s="13"/>
      <c r="AI23" s="9"/>
      <c r="AJ23" s="181"/>
      <c r="AK23" s="9"/>
      <c r="AL23" s="8"/>
      <c r="AM23" s="8"/>
      <c r="AQ23" s="1"/>
      <c r="AR23" s="8"/>
      <c r="AS23" s="8"/>
      <c r="AT23" s="8"/>
      <c r="AU23" s="8"/>
      <c r="AV23" s="9"/>
      <c r="AW23" s="8"/>
      <c r="AX23" s="8"/>
    </row>
    <row r="24" spans="1:50" ht="12.75" customHeight="1" x14ac:dyDescent="0.2">
      <c r="A24" s="9"/>
      <c r="B24" s="13"/>
      <c r="C24" s="13"/>
      <c r="D24" s="9"/>
      <c r="E24" s="181"/>
      <c r="F24" s="9"/>
      <c r="G24" s="307" t="s">
        <v>24</v>
      </c>
      <c r="H24" s="307"/>
      <c r="K24" s="9"/>
      <c r="L24" s="8"/>
      <c r="M24" s="18"/>
      <c r="N24" s="8"/>
      <c r="O24" s="9"/>
      <c r="P24" s="9"/>
      <c r="Q24" s="307" t="s">
        <v>24</v>
      </c>
      <c r="R24" s="308"/>
      <c r="V24" s="9"/>
      <c r="W24" s="13"/>
      <c r="X24" s="13"/>
      <c r="Y24" s="9"/>
      <c r="Z24" s="9"/>
      <c r="AA24" s="9"/>
      <c r="AB24" s="307" t="s">
        <v>24</v>
      </c>
      <c r="AC24" s="307"/>
      <c r="AF24" s="9"/>
      <c r="AG24" s="13"/>
      <c r="AH24" s="13"/>
      <c r="AI24" s="9"/>
      <c r="AJ24" s="9"/>
      <c r="AK24" s="9"/>
      <c r="AL24" s="307" t="s">
        <v>24</v>
      </c>
      <c r="AM24" s="307"/>
      <c r="AQ24" s="9"/>
      <c r="AR24" s="8"/>
      <c r="AS24" s="8"/>
      <c r="AT24" s="8"/>
      <c r="AU24" s="8"/>
      <c r="AV24" s="9"/>
      <c r="AW24" s="307" t="s">
        <v>24</v>
      </c>
      <c r="AX24" s="307"/>
    </row>
    <row r="25" spans="1:50" ht="12.75" customHeight="1" x14ac:dyDescent="0.2">
      <c r="A25" s="9"/>
      <c r="B25" s="13"/>
      <c r="C25" s="13"/>
      <c r="D25" s="9"/>
      <c r="E25" s="9"/>
      <c r="F25" s="9"/>
      <c r="G25" s="307"/>
      <c r="H25" s="307"/>
      <c r="K25" s="9"/>
      <c r="L25" s="8"/>
      <c r="M25" s="50"/>
      <c r="N25" s="8"/>
      <c r="O25" s="8"/>
      <c r="P25" s="8"/>
      <c r="Q25" s="307"/>
      <c r="R25" s="308"/>
      <c r="V25" s="9"/>
      <c r="W25" s="8"/>
      <c r="X25" s="8"/>
      <c r="Y25" s="9"/>
      <c r="Z25" s="9"/>
      <c r="AA25" s="9"/>
      <c r="AB25" s="307"/>
      <c r="AC25" s="307"/>
      <c r="AF25" s="9"/>
      <c r="AG25" s="8"/>
      <c r="AH25" s="8"/>
      <c r="AI25" s="9"/>
      <c r="AJ25" s="9"/>
      <c r="AK25" s="9"/>
      <c r="AL25" s="307"/>
      <c r="AM25" s="307"/>
      <c r="AQ25" s="9"/>
      <c r="AR25" s="8"/>
      <c r="AS25" s="8"/>
      <c r="AT25" s="8"/>
      <c r="AU25" s="8"/>
      <c r="AV25" s="9"/>
      <c r="AW25" s="307"/>
      <c r="AX25" s="307"/>
    </row>
    <row r="26" spans="1:50" ht="12.75" customHeight="1" x14ac:dyDescent="0.2">
      <c r="A26" s="8"/>
      <c r="B26" s="8"/>
      <c r="C26" s="8"/>
      <c r="D26" s="9"/>
      <c r="E26" s="9"/>
      <c r="F26" s="9"/>
      <c r="G26" s="316">
        <f>G14+G20</f>
        <v>3500</v>
      </c>
      <c r="H26" s="316"/>
      <c r="K26" s="9"/>
      <c r="L26" s="8"/>
      <c r="M26" s="50"/>
      <c r="N26" s="8"/>
      <c r="O26" s="8"/>
      <c r="P26" s="8"/>
      <c r="Q26" s="316">
        <f>Q14+Q20</f>
        <v>12000</v>
      </c>
      <c r="R26" s="317"/>
      <c r="V26" s="9"/>
      <c r="W26" s="8"/>
      <c r="X26" s="8"/>
      <c r="Y26" s="9"/>
      <c r="Z26" s="9"/>
      <c r="AA26" s="9"/>
      <c r="AB26" s="316">
        <f>AB14+AB20</f>
        <v>0</v>
      </c>
      <c r="AC26" s="316"/>
      <c r="AF26" s="9"/>
      <c r="AG26" s="8"/>
      <c r="AH26" s="8"/>
      <c r="AI26" s="9"/>
      <c r="AJ26" s="9"/>
      <c r="AK26" s="9"/>
      <c r="AL26" s="316">
        <f>AL14+AL20</f>
        <v>5000</v>
      </c>
      <c r="AM26" s="316"/>
      <c r="AQ26" s="9"/>
      <c r="AR26" s="8"/>
      <c r="AS26" s="8"/>
      <c r="AT26" s="8"/>
      <c r="AU26" s="8"/>
      <c r="AV26" s="9"/>
      <c r="AW26" s="316">
        <f t="shared" ref="AW26" si="4">AW14+AW20</f>
        <v>0</v>
      </c>
      <c r="AX26" s="316"/>
    </row>
    <row r="27" spans="1:50" ht="12.75" customHeight="1" x14ac:dyDescent="0.2">
      <c r="A27" s="8"/>
      <c r="B27" s="8"/>
      <c r="C27" s="8"/>
      <c r="D27" s="9"/>
      <c r="E27" s="9"/>
      <c r="F27" s="9"/>
      <c r="G27" s="316"/>
      <c r="H27" s="316"/>
      <c r="K27" s="8"/>
      <c r="L27" s="8"/>
      <c r="M27" s="8"/>
      <c r="N27" s="8"/>
      <c r="O27" s="8"/>
      <c r="P27" s="8"/>
      <c r="Q27" s="316"/>
      <c r="R27" s="317"/>
      <c r="V27" s="8"/>
      <c r="W27" s="8"/>
      <c r="X27" s="8"/>
      <c r="Y27" s="9"/>
      <c r="Z27" s="9"/>
      <c r="AA27" s="8"/>
      <c r="AB27" s="316"/>
      <c r="AC27" s="316"/>
      <c r="AF27" s="8"/>
      <c r="AG27" s="8"/>
      <c r="AH27" s="8"/>
      <c r="AI27" s="9"/>
      <c r="AJ27" s="9"/>
      <c r="AK27" s="8"/>
      <c r="AL27" s="316"/>
      <c r="AM27" s="316"/>
      <c r="AQ27" s="8"/>
      <c r="AR27" s="8"/>
      <c r="AS27" s="8"/>
      <c r="AT27" s="8"/>
      <c r="AU27" s="8"/>
      <c r="AV27" s="9"/>
      <c r="AW27" s="316"/>
      <c r="AX27" s="316"/>
    </row>
    <row r="28" spans="1:50" ht="12.75" customHeight="1" x14ac:dyDescent="0.2">
      <c r="A28" s="8"/>
      <c r="B28" s="8"/>
      <c r="C28" s="8"/>
      <c r="D28" s="9"/>
      <c r="E28" s="9"/>
      <c r="F28" s="9"/>
      <c r="G28" s="8"/>
      <c r="H28" s="8"/>
      <c r="K28" s="8"/>
      <c r="L28" s="8"/>
      <c r="M28" s="8"/>
      <c r="N28" s="8"/>
      <c r="O28" s="8"/>
      <c r="P28" s="8"/>
      <c r="Q28" s="8"/>
      <c r="R28" s="8"/>
      <c r="V28" s="8"/>
      <c r="W28" s="8"/>
      <c r="X28" s="8"/>
      <c r="Y28" s="8"/>
      <c r="Z28" s="8"/>
      <c r="AA28" s="8"/>
      <c r="AB28" s="8"/>
      <c r="AC28" s="8"/>
      <c r="AF28" s="8"/>
      <c r="AG28" s="8"/>
      <c r="AH28" s="8"/>
      <c r="AI28" s="8"/>
      <c r="AJ28" s="8"/>
      <c r="AK28" s="8"/>
      <c r="AL28" s="8"/>
      <c r="AM28" s="8"/>
      <c r="AQ28" s="8"/>
      <c r="AR28" s="8"/>
      <c r="AS28" s="8"/>
      <c r="AT28" s="8"/>
      <c r="AU28" s="8"/>
      <c r="AV28" s="9"/>
      <c r="AW28" s="8"/>
      <c r="AX28" s="8"/>
    </row>
    <row r="29" spans="1:50" ht="12.75" customHeight="1" x14ac:dyDescent="0.2">
      <c r="A29" s="8"/>
      <c r="G29" s="318" t="s">
        <v>48</v>
      </c>
      <c r="H29" s="319"/>
      <c r="K29" s="8"/>
      <c r="L29" s="8"/>
      <c r="M29" s="8"/>
      <c r="N29" s="8"/>
      <c r="O29" s="8"/>
      <c r="P29" s="8"/>
      <c r="Q29" s="318" t="s">
        <v>48</v>
      </c>
      <c r="R29" s="319"/>
      <c r="V29" s="8"/>
      <c r="W29" s="8"/>
      <c r="X29" s="8"/>
      <c r="Y29" s="8"/>
      <c r="Z29" s="8"/>
      <c r="AA29" s="8"/>
      <c r="AB29" s="318" t="s">
        <v>48</v>
      </c>
      <c r="AC29" s="319"/>
      <c r="AF29" s="8"/>
      <c r="AG29" s="8"/>
      <c r="AH29" s="8"/>
      <c r="AI29" s="8"/>
      <c r="AJ29" s="8"/>
      <c r="AK29" s="8"/>
      <c r="AL29" s="318" t="s">
        <v>48</v>
      </c>
      <c r="AM29" s="319"/>
      <c r="AQ29" s="8"/>
      <c r="AR29" s="8"/>
      <c r="AS29" s="8"/>
      <c r="AT29" s="9"/>
      <c r="AU29" s="9"/>
      <c r="AV29" s="9"/>
      <c r="AW29" s="318" t="s">
        <v>48</v>
      </c>
      <c r="AX29" s="319"/>
    </row>
    <row r="30" spans="1:50" ht="12.75" customHeight="1" x14ac:dyDescent="0.2">
      <c r="A30" s="8"/>
      <c r="G30" s="320"/>
      <c r="H30" s="321"/>
      <c r="K30" s="8"/>
      <c r="L30" s="8"/>
      <c r="M30" s="8"/>
      <c r="N30" s="8"/>
      <c r="O30" s="8"/>
      <c r="P30" s="8"/>
      <c r="Q30" s="320"/>
      <c r="R30" s="321"/>
      <c r="V30" s="8"/>
      <c r="W30" s="8"/>
      <c r="X30" s="8"/>
      <c r="Y30" s="8"/>
      <c r="Z30" s="8"/>
      <c r="AA30" s="8"/>
      <c r="AB30" s="320"/>
      <c r="AC30" s="321"/>
      <c r="AF30" s="8"/>
      <c r="AG30" s="8"/>
      <c r="AH30" s="8"/>
      <c r="AI30" s="8"/>
      <c r="AJ30" s="8"/>
      <c r="AK30" s="8"/>
      <c r="AL30" s="320"/>
      <c r="AM30" s="321"/>
      <c r="AQ30" s="8"/>
      <c r="AR30" s="13"/>
      <c r="AS30" s="13"/>
      <c r="AT30" s="9"/>
      <c r="AU30" s="9"/>
      <c r="AV30" s="9"/>
      <c r="AW30" s="320"/>
      <c r="AX30" s="321"/>
    </row>
    <row r="31" spans="1:50" ht="12.75" customHeight="1" x14ac:dyDescent="0.2">
      <c r="A31" s="8"/>
      <c r="G31" s="316">
        <v>8000</v>
      </c>
      <c r="H31" s="316"/>
      <c r="K31" s="8"/>
      <c r="L31" s="8"/>
      <c r="M31" s="8"/>
      <c r="N31" s="8"/>
      <c r="O31" s="8"/>
      <c r="P31" s="8"/>
      <c r="Q31" s="316">
        <v>7000</v>
      </c>
      <c r="R31" s="316"/>
      <c r="V31" s="8"/>
      <c r="W31" s="8"/>
      <c r="X31" s="8"/>
      <c r="Y31" s="8"/>
      <c r="Z31" s="8"/>
      <c r="AA31" s="8"/>
      <c r="AB31" s="316">
        <v>0</v>
      </c>
      <c r="AC31" s="316"/>
      <c r="AF31" s="8"/>
      <c r="AG31" s="8"/>
      <c r="AH31" s="8"/>
      <c r="AI31" s="8"/>
      <c r="AJ31" s="8"/>
      <c r="AK31" s="8"/>
      <c r="AL31" s="316">
        <v>2500</v>
      </c>
      <c r="AM31" s="316"/>
      <c r="AQ31" s="8"/>
      <c r="AR31" s="8"/>
      <c r="AS31" s="8"/>
      <c r="AT31" s="8"/>
      <c r="AU31" s="8"/>
      <c r="AV31" s="9"/>
      <c r="AW31" s="316">
        <v>0</v>
      </c>
      <c r="AX31" s="316"/>
    </row>
    <row r="32" spans="1:50" ht="12.75" customHeight="1" x14ac:dyDescent="0.2">
      <c r="A32" s="8"/>
      <c r="G32" s="316"/>
      <c r="H32" s="316"/>
      <c r="K32" s="8"/>
      <c r="L32" s="8"/>
      <c r="M32" s="8"/>
      <c r="N32" s="8"/>
      <c r="O32" s="8"/>
      <c r="P32" s="8"/>
      <c r="Q32" s="316"/>
      <c r="R32" s="316"/>
      <c r="V32" s="8"/>
      <c r="W32" s="8"/>
      <c r="X32" s="8"/>
      <c r="Y32" s="8"/>
      <c r="Z32" s="8"/>
      <c r="AA32" s="8"/>
      <c r="AB32" s="316"/>
      <c r="AC32" s="316"/>
      <c r="AF32" s="8"/>
      <c r="AG32" s="8"/>
      <c r="AH32" s="8"/>
      <c r="AI32" s="8"/>
      <c r="AJ32" s="8"/>
      <c r="AK32" s="8"/>
      <c r="AL32" s="316"/>
      <c r="AM32" s="316"/>
      <c r="AQ32" s="8"/>
      <c r="AR32" s="13"/>
      <c r="AS32" s="13"/>
      <c r="AT32" s="9"/>
      <c r="AU32" s="181"/>
      <c r="AV32" s="9"/>
      <c r="AW32" s="316"/>
      <c r="AX32" s="316"/>
    </row>
    <row r="33" spans="1:56" ht="12.75" customHeight="1" x14ac:dyDescent="0.2">
      <c r="A33" s="8"/>
      <c r="G33" s="8"/>
      <c r="H33" s="8"/>
      <c r="K33" s="8"/>
      <c r="L33" s="8"/>
      <c r="M33" s="8"/>
      <c r="N33" s="8"/>
      <c r="O33" s="8"/>
      <c r="P33" s="8"/>
      <c r="Q33" s="8"/>
      <c r="R33" s="8"/>
      <c r="V33" s="8"/>
      <c r="W33" s="8"/>
      <c r="X33" s="8"/>
      <c r="Y33" s="8"/>
      <c r="Z33" s="8"/>
      <c r="AA33" s="8"/>
      <c r="AB33" s="8"/>
      <c r="AC33" s="8"/>
      <c r="AL33" s="46"/>
      <c r="AM33" s="46"/>
      <c r="AQ33" s="8"/>
      <c r="AR33" s="13"/>
      <c r="AS33" s="13"/>
      <c r="AT33" s="9"/>
      <c r="AU33" s="9"/>
      <c r="AV33" s="9"/>
      <c r="AW33" s="8"/>
      <c r="AX33" s="8"/>
    </row>
    <row r="34" spans="1:56" ht="12.75" customHeight="1" x14ac:dyDescent="0.2">
      <c r="A34" s="8"/>
      <c r="G34" s="309" t="s">
        <v>49</v>
      </c>
      <c r="H34" s="309"/>
      <c r="K34" s="8"/>
      <c r="L34" s="51"/>
      <c r="Q34" s="309" t="s">
        <v>49</v>
      </c>
      <c r="R34" s="309"/>
      <c r="V34" s="8"/>
      <c r="W34" s="8"/>
      <c r="X34" s="8"/>
      <c r="Y34" s="8"/>
      <c r="Z34" s="8"/>
      <c r="AA34" s="8"/>
      <c r="AB34" s="309" t="s">
        <v>49</v>
      </c>
      <c r="AC34" s="309"/>
      <c r="AL34" s="309" t="s">
        <v>49</v>
      </c>
      <c r="AM34" s="309"/>
      <c r="AQ34" s="8"/>
      <c r="AR34" s="8"/>
      <c r="AS34" s="8"/>
      <c r="AT34" s="9"/>
      <c r="AU34" s="9"/>
      <c r="AV34" s="9"/>
      <c r="AW34" s="309" t="s">
        <v>49</v>
      </c>
      <c r="AX34" s="309"/>
    </row>
    <row r="35" spans="1:56" ht="12.75" customHeight="1" x14ac:dyDescent="0.2">
      <c r="A35" s="8"/>
      <c r="G35" s="309"/>
      <c r="H35" s="309"/>
      <c r="K35" s="8"/>
      <c r="Q35" s="309"/>
      <c r="R35" s="309"/>
      <c r="V35" s="8"/>
      <c r="W35" s="8"/>
      <c r="X35" s="8"/>
      <c r="Y35" s="8"/>
      <c r="Z35" s="8"/>
      <c r="AA35" s="8"/>
      <c r="AB35" s="309"/>
      <c r="AC35" s="309"/>
      <c r="AL35" s="309"/>
      <c r="AM35" s="309"/>
      <c r="AQ35" s="8"/>
      <c r="AR35" s="8"/>
      <c r="AS35" s="8"/>
      <c r="AT35" s="9"/>
      <c r="AU35" s="9"/>
      <c r="AV35" s="9"/>
      <c r="AW35" s="309"/>
      <c r="AX35" s="309"/>
    </row>
    <row r="36" spans="1:56" ht="12.75" customHeight="1" x14ac:dyDescent="0.2">
      <c r="A36" s="8"/>
      <c r="G36" s="317">
        <f>G14-G31</f>
        <v>-5550</v>
      </c>
      <c r="H36" s="323"/>
      <c r="K36" s="8"/>
      <c r="Q36" s="317">
        <f>Q14-Q31</f>
        <v>1400</v>
      </c>
      <c r="R36" s="323"/>
      <c r="V36" s="8"/>
      <c r="W36" s="8"/>
      <c r="X36" s="8"/>
      <c r="Y36" s="8"/>
      <c r="Z36" s="8"/>
      <c r="AA36" s="8"/>
      <c r="AB36" s="312">
        <f>AB14-AB31</f>
        <v>0</v>
      </c>
      <c r="AC36" s="313"/>
      <c r="AL36" s="312">
        <f>AL14-AL31</f>
        <v>1000</v>
      </c>
      <c r="AM36" s="313"/>
      <c r="AQ36" s="8"/>
      <c r="AR36" s="8"/>
      <c r="AS36" s="8"/>
      <c r="AT36" s="9"/>
      <c r="AU36" s="9"/>
      <c r="AV36" s="9"/>
      <c r="AW36" s="180">
        <f>AW14-AW31</f>
        <v>0</v>
      </c>
      <c r="AX36" s="180"/>
    </row>
    <row r="37" spans="1:56" ht="12.75" customHeight="1" x14ac:dyDescent="0.2">
      <c r="A37" s="8"/>
      <c r="K37" s="51"/>
      <c r="V37" s="51"/>
      <c r="W37" s="51"/>
      <c r="AB37" s="314"/>
      <c r="AC37" s="315"/>
      <c r="AL37" s="314"/>
      <c r="AM37" s="315"/>
    </row>
    <row r="39" spans="1:56" ht="12.75" customHeight="1" x14ac:dyDescent="0.2">
      <c r="A39" s="182" t="s">
        <v>0</v>
      </c>
      <c r="B39" s="182"/>
      <c r="C39" s="182"/>
      <c r="D39" s="182"/>
      <c r="E39" s="182"/>
      <c r="F39" s="182"/>
    </row>
    <row r="40" spans="1:56" ht="12.75" customHeight="1" x14ac:dyDescent="0.2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64"/>
      <c r="L40" s="291" t="s">
        <v>50</v>
      </c>
      <c r="M40" s="292"/>
    </row>
    <row r="41" spans="1:56" ht="12.75" customHeight="1" x14ac:dyDescent="0.2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64"/>
      <c r="L41" s="293"/>
      <c r="M41" s="294"/>
    </row>
    <row r="42" spans="1:56" ht="12.75" customHeight="1" x14ac:dyDescent="0.2">
      <c r="B42" s="5" t="s">
        <v>2</v>
      </c>
      <c r="C42" s="5" t="s">
        <v>51</v>
      </c>
      <c r="D42" s="5" t="s">
        <v>3</v>
      </c>
      <c r="E42" s="5" t="s">
        <v>5</v>
      </c>
      <c r="F42" s="5" t="s">
        <v>52</v>
      </c>
      <c r="G42" s="182"/>
      <c r="H42" s="182"/>
      <c r="I42" s="182"/>
      <c r="J42" s="182"/>
      <c r="K42" s="64"/>
      <c r="L42" s="307" t="s">
        <v>24</v>
      </c>
      <c r="M42" s="307"/>
    </row>
    <row r="43" spans="1:56" ht="12.75" customHeight="1" x14ac:dyDescent="0.2">
      <c r="B43" s="52" t="s">
        <v>53</v>
      </c>
      <c r="C43" s="13"/>
      <c r="D43" s="9" t="s">
        <v>54</v>
      </c>
      <c r="E43" s="9">
        <v>1000</v>
      </c>
      <c r="F43" s="181">
        <v>1000</v>
      </c>
      <c r="G43" s="5" t="s">
        <v>55</v>
      </c>
      <c r="H43" s="5" t="s">
        <v>56</v>
      </c>
      <c r="I43" s="5" t="s">
        <v>57</v>
      </c>
      <c r="J43" s="5"/>
      <c r="K43" s="5" t="s">
        <v>4</v>
      </c>
      <c r="L43" s="307"/>
      <c r="M43" s="307"/>
      <c r="Q43" s="2"/>
      <c r="R43" s="304" t="s">
        <v>0</v>
      </c>
      <c r="S43" s="304"/>
      <c r="T43" s="304"/>
      <c r="U43" s="304"/>
      <c r="V43" s="304"/>
      <c r="W43" s="304"/>
      <c r="X43" s="304"/>
      <c r="Y43" s="304"/>
    </row>
    <row r="44" spans="1:56" ht="12.75" customHeight="1" x14ac:dyDescent="0.2">
      <c r="B44" s="8" t="s">
        <v>58</v>
      </c>
      <c r="C44" s="8"/>
      <c r="D44" s="9" t="s">
        <v>59</v>
      </c>
      <c r="E44" s="9">
        <v>1000</v>
      </c>
      <c r="F44" s="9">
        <v>1000</v>
      </c>
      <c r="G44" s="181"/>
      <c r="H44" s="8"/>
      <c r="I44" s="8"/>
      <c r="J44" s="8"/>
      <c r="K44" s="8"/>
      <c r="L44" s="26" t="s">
        <v>37</v>
      </c>
      <c r="M44" s="27">
        <f>SUM(E43:E55)</f>
        <v>31700</v>
      </c>
      <c r="Q44" s="2"/>
      <c r="R44" s="304"/>
      <c r="S44" s="304"/>
      <c r="T44" s="304"/>
      <c r="U44" s="304"/>
      <c r="V44" s="304"/>
      <c r="W44" s="304"/>
      <c r="X44" s="304"/>
      <c r="Y44" s="304"/>
    </row>
    <row r="45" spans="1:56" ht="12.75" customHeight="1" x14ac:dyDescent="0.2">
      <c r="A45" s="5" t="s">
        <v>1</v>
      </c>
      <c r="B45" s="23" t="s">
        <v>60</v>
      </c>
      <c r="C45" s="13"/>
      <c r="D45" s="9" t="s">
        <v>61</v>
      </c>
      <c r="E45" s="9">
        <v>1600</v>
      </c>
      <c r="F45" s="181">
        <v>1600</v>
      </c>
      <c r="G45" s="181"/>
      <c r="H45" s="8"/>
      <c r="I45" s="8"/>
      <c r="J45" s="8"/>
      <c r="K45" s="8"/>
      <c r="L45" s="26" t="s">
        <v>39</v>
      </c>
      <c r="M45" s="27">
        <f>SUM(F43:F56)</f>
        <v>22700</v>
      </c>
      <c r="Q45" s="2"/>
      <c r="R45" s="304"/>
      <c r="S45" s="304"/>
      <c r="T45" s="304"/>
      <c r="U45" s="304"/>
      <c r="V45" s="304"/>
      <c r="W45" s="304"/>
      <c r="X45" s="304"/>
      <c r="Y45" s="304"/>
    </row>
    <row r="46" spans="1:56" ht="12.75" customHeight="1" x14ac:dyDescent="0.2">
      <c r="A46" s="1">
        <v>1</v>
      </c>
      <c r="B46" s="13" t="s">
        <v>62</v>
      </c>
      <c r="C46" s="13"/>
      <c r="D46" s="9" t="s">
        <v>63</v>
      </c>
      <c r="E46" s="9">
        <v>1000</v>
      </c>
      <c r="F46" s="9">
        <v>1000</v>
      </c>
      <c r="G46" s="181"/>
      <c r="H46" s="8"/>
      <c r="I46" s="8"/>
      <c r="J46" s="8"/>
      <c r="K46" s="8"/>
      <c r="L46" s="8"/>
      <c r="M46" s="8"/>
      <c r="R46" s="5" t="s">
        <v>1</v>
      </c>
      <c r="S46" s="5" t="s">
        <v>2</v>
      </c>
      <c r="T46" s="5" t="s">
        <v>3</v>
      </c>
      <c r="U46" s="5" t="s">
        <v>4</v>
      </c>
      <c r="V46" s="5" t="s">
        <v>5</v>
      </c>
      <c r="W46" s="5" t="s">
        <v>6</v>
      </c>
      <c r="X46" s="322" t="s">
        <v>64</v>
      </c>
      <c r="Y46" s="322"/>
    </row>
    <row r="47" spans="1:56" ht="12.75" customHeight="1" x14ac:dyDescent="0.2">
      <c r="A47" s="1">
        <v>2</v>
      </c>
      <c r="B47" s="13" t="s">
        <v>65</v>
      </c>
      <c r="C47" s="13"/>
      <c r="D47" s="9" t="s">
        <v>66</v>
      </c>
      <c r="E47" s="9">
        <v>2100</v>
      </c>
      <c r="F47" s="9">
        <v>2100</v>
      </c>
      <c r="G47" s="9"/>
      <c r="H47" s="8"/>
      <c r="I47" s="8"/>
      <c r="J47" s="8"/>
      <c r="K47" s="8"/>
      <c r="L47" s="8"/>
      <c r="M47" s="8"/>
      <c r="R47" s="1">
        <v>1</v>
      </c>
      <c r="S47" s="8" t="s">
        <v>30</v>
      </c>
      <c r="T47" s="9" t="s">
        <v>67</v>
      </c>
      <c r="U47" s="9" t="s">
        <v>68</v>
      </c>
      <c r="V47" s="9">
        <v>1000</v>
      </c>
      <c r="W47" s="9">
        <v>1000</v>
      </c>
      <c r="X47" s="322"/>
      <c r="Y47" s="322"/>
      <c r="AX47" s="53"/>
      <c r="AY47" s="54"/>
      <c r="AZ47" s="54"/>
      <c r="BA47" s="53"/>
      <c r="BB47" s="53"/>
    </row>
    <row r="48" spans="1:56" ht="12.75" customHeight="1" x14ac:dyDescent="0.2">
      <c r="A48" s="1">
        <v>3</v>
      </c>
      <c r="B48" s="8" t="s">
        <v>58</v>
      </c>
      <c r="C48" s="8"/>
      <c r="D48" s="9" t="s">
        <v>59</v>
      </c>
      <c r="E48" s="9">
        <v>2000</v>
      </c>
      <c r="F48" s="9">
        <v>2000</v>
      </c>
      <c r="G48" s="9"/>
      <c r="H48" s="8"/>
      <c r="I48" s="8"/>
      <c r="J48" s="8"/>
      <c r="K48" s="33"/>
      <c r="L48" s="309" t="s">
        <v>46</v>
      </c>
      <c r="M48" s="309"/>
      <c r="R48" s="1">
        <v>2</v>
      </c>
      <c r="S48" s="55" t="s">
        <v>69</v>
      </c>
      <c r="T48" s="9" t="s">
        <v>70</v>
      </c>
      <c r="U48" s="9" t="s">
        <v>68</v>
      </c>
      <c r="V48" s="9">
        <v>8000</v>
      </c>
      <c r="W48" s="9">
        <v>8000</v>
      </c>
      <c r="X48" s="307" t="s">
        <v>24</v>
      </c>
      <c r="Y48" s="307"/>
      <c r="AT48" s="302" t="s">
        <v>0</v>
      </c>
      <c r="AU48" s="302"/>
      <c r="AV48" s="302"/>
      <c r="AW48" s="302"/>
      <c r="AX48" s="302"/>
      <c r="AY48" s="302"/>
      <c r="AZ48" s="302"/>
      <c r="BA48" s="302"/>
      <c r="BB48" s="302"/>
      <c r="BC48" s="302"/>
      <c r="BD48" s="289"/>
    </row>
    <row r="49" spans="1:56" ht="12.75" customHeight="1" x14ac:dyDescent="0.2">
      <c r="A49" s="1">
        <v>4</v>
      </c>
      <c r="B49" s="13"/>
      <c r="C49" s="13"/>
      <c r="D49" s="9"/>
      <c r="E49" s="9"/>
      <c r="F49" s="9"/>
      <c r="G49" s="181"/>
      <c r="H49" s="8"/>
      <c r="I49" s="8"/>
      <c r="J49" s="8"/>
      <c r="K49" s="33"/>
      <c r="L49" s="309"/>
      <c r="M49" s="309"/>
      <c r="R49" s="1">
        <v>3</v>
      </c>
      <c r="S49" s="13" t="s">
        <v>71</v>
      </c>
      <c r="T49" s="9" t="s">
        <v>67</v>
      </c>
      <c r="U49" s="9" t="s">
        <v>68</v>
      </c>
      <c r="V49" s="9">
        <v>1000</v>
      </c>
      <c r="W49" s="9">
        <v>1000</v>
      </c>
      <c r="X49" s="307"/>
      <c r="Y49" s="307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289"/>
    </row>
    <row r="50" spans="1:56" ht="12.75" customHeight="1" x14ac:dyDescent="0.2">
      <c r="A50" s="1">
        <v>5</v>
      </c>
      <c r="B50" s="8" t="s">
        <v>72</v>
      </c>
      <c r="C50" s="8"/>
      <c r="D50" s="8"/>
      <c r="E50" s="8"/>
      <c r="F50" s="9"/>
      <c r="G50" s="181"/>
      <c r="H50" s="8"/>
      <c r="I50" s="8"/>
      <c r="J50" s="8"/>
      <c r="K50" s="8"/>
      <c r="L50" s="312">
        <f>M45*70/100</f>
        <v>15890</v>
      </c>
      <c r="M50" s="313"/>
      <c r="R50" s="1">
        <v>4</v>
      </c>
      <c r="S50" s="13" t="s">
        <v>36</v>
      </c>
      <c r="T50" s="9" t="s">
        <v>67</v>
      </c>
      <c r="U50" s="9" t="s">
        <v>68</v>
      </c>
      <c r="V50" s="9">
        <v>500</v>
      </c>
      <c r="W50" s="9">
        <v>500</v>
      </c>
      <c r="X50" s="26" t="s">
        <v>37</v>
      </c>
      <c r="Y50" s="27">
        <f>SUM(V47:V56)</f>
        <v>14000</v>
      </c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290"/>
    </row>
    <row r="51" spans="1:56" ht="12.75" customHeight="1" x14ac:dyDescent="0.2">
      <c r="A51" s="1">
        <v>6</v>
      </c>
      <c r="B51" s="13" t="s">
        <v>73</v>
      </c>
      <c r="C51" s="13"/>
      <c r="D51" s="9" t="s">
        <v>74</v>
      </c>
      <c r="E51" s="9">
        <v>7000</v>
      </c>
      <c r="F51" s="9">
        <v>4000</v>
      </c>
      <c r="G51" s="181"/>
      <c r="H51" s="8"/>
      <c r="I51" s="8"/>
      <c r="J51" s="8"/>
      <c r="K51" s="8"/>
      <c r="L51" s="314"/>
      <c r="M51" s="315"/>
      <c r="R51" s="1">
        <v>5</v>
      </c>
      <c r="S51" s="8" t="s">
        <v>28</v>
      </c>
      <c r="T51" s="9" t="s">
        <v>67</v>
      </c>
      <c r="U51" s="9" t="s">
        <v>68</v>
      </c>
      <c r="V51" s="9">
        <v>1500</v>
      </c>
      <c r="W51" s="9">
        <v>1500</v>
      </c>
      <c r="X51" s="26" t="s">
        <v>39</v>
      </c>
      <c r="Y51" s="27">
        <f>SUM(W47:W57)</f>
        <v>14000</v>
      </c>
      <c r="AS51" s="5" t="s">
        <v>1</v>
      </c>
      <c r="AT51" s="5" t="s">
        <v>2</v>
      </c>
      <c r="AU51" s="5" t="s">
        <v>51</v>
      </c>
      <c r="AV51" s="5" t="s">
        <v>3</v>
      </c>
      <c r="AW51" s="5" t="s">
        <v>5</v>
      </c>
      <c r="AX51" s="5" t="s">
        <v>52</v>
      </c>
      <c r="AY51" s="5" t="s">
        <v>55</v>
      </c>
      <c r="AZ51" s="5" t="s">
        <v>56</v>
      </c>
      <c r="BA51" s="5" t="s">
        <v>57</v>
      </c>
      <c r="BB51" s="5" t="s">
        <v>4</v>
      </c>
      <c r="BC51" s="291" t="s">
        <v>75</v>
      </c>
      <c r="BD51" s="292"/>
    </row>
    <row r="52" spans="1:56" ht="12.75" customHeight="1" x14ac:dyDescent="0.2">
      <c r="A52" s="1">
        <v>7</v>
      </c>
      <c r="B52" s="13" t="s">
        <v>76</v>
      </c>
      <c r="C52" s="13"/>
      <c r="D52" s="9" t="s">
        <v>74</v>
      </c>
      <c r="E52" s="9">
        <v>8000</v>
      </c>
      <c r="F52" s="9">
        <v>5000</v>
      </c>
      <c r="G52" s="9">
        <f>E51-F51</f>
        <v>3000</v>
      </c>
      <c r="H52" s="8"/>
      <c r="I52" s="8"/>
      <c r="J52" s="8"/>
      <c r="K52" s="8"/>
      <c r="L52" s="8"/>
      <c r="M52" s="8"/>
      <c r="Q52" s="36"/>
      <c r="R52" s="34">
        <v>6</v>
      </c>
      <c r="S52" s="56" t="s">
        <v>77</v>
      </c>
      <c r="T52" s="57" t="s">
        <v>78</v>
      </c>
      <c r="U52" s="57" t="s">
        <v>79</v>
      </c>
      <c r="V52" s="181">
        <v>2000</v>
      </c>
      <c r="W52" s="181">
        <v>2000</v>
      </c>
      <c r="X52" s="35"/>
      <c r="Y52" s="35"/>
      <c r="AS52" s="1">
        <v>1</v>
      </c>
      <c r="AT52" s="52" t="s">
        <v>80</v>
      </c>
      <c r="AU52" s="13" t="s">
        <v>81</v>
      </c>
      <c r="AV52" s="9" t="s">
        <v>67</v>
      </c>
      <c r="AW52" s="9">
        <v>1000</v>
      </c>
      <c r="AX52" s="181">
        <v>1000</v>
      </c>
      <c r="AY52" s="181"/>
      <c r="AZ52" s="8">
        <f t="shared" ref="AZ52:AZ74" si="5">AW52-AX52</f>
        <v>0</v>
      </c>
      <c r="BA52" s="8"/>
      <c r="BB52" s="8"/>
      <c r="BC52" s="293"/>
      <c r="BD52" s="294"/>
    </row>
    <row r="53" spans="1:56" ht="12.75" customHeight="1" x14ac:dyDescent="0.2">
      <c r="A53" s="1">
        <v>8</v>
      </c>
      <c r="B53" s="13" t="s">
        <v>82</v>
      </c>
      <c r="C53" s="13"/>
      <c r="D53" s="9" t="s">
        <v>74</v>
      </c>
      <c r="E53" s="9">
        <v>8000</v>
      </c>
      <c r="F53" s="9">
        <v>5000</v>
      </c>
      <c r="G53" s="9">
        <f>E52-F52</f>
        <v>3000</v>
      </c>
      <c r="H53" s="8"/>
      <c r="I53" s="8"/>
      <c r="J53" s="8"/>
      <c r="K53" s="8"/>
      <c r="L53" s="8"/>
      <c r="M53" s="8"/>
      <c r="R53" s="1">
        <v>7</v>
      </c>
      <c r="S53" s="8"/>
      <c r="T53" s="8"/>
      <c r="U53" s="8"/>
      <c r="V53" s="8"/>
      <c r="X53" s="8"/>
      <c r="Y53" s="8"/>
      <c r="AS53" s="1">
        <v>2</v>
      </c>
      <c r="AT53" s="8" t="s">
        <v>83</v>
      </c>
      <c r="AU53" s="8"/>
      <c r="AV53" s="9" t="s">
        <v>67</v>
      </c>
      <c r="AW53" s="9">
        <v>1000</v>
      </c>
      <c r="AX53" s="9">
        <v>1000</v>
      </c>
      <c r="AY53" s="181"/>
      <c r="AZ53" s="8">
        <f t="shared" si="5"/>
        <v>0</v>
      </c>
      <c r="BA53" s="8"/>
      <c r="BB53" s="8"/>
      <c r="BC53" s="307" t="s">
        <v>24</v>
      </c>
      <c r="BD53" s="307"/>
    </row>
    <row r="54" spans="1:56" ht="12.75" customHeight="1" x14ac:dyDescent="0.2">
      <c r="A54" s="1">
        <v>9</v>
      </c>
      <c r="B54" s="8"/>
      <c r="C54" s="8"/>
      <c r="D54" s="8"/>
      <c r="E54" s="8"/>
      <c r="F54" s="9"/>
      <c r="G54" s="9">
        <f>E53-F53</f>
        <v>3000</v>
      </c>
      <c r="H54" s="9"/>
      <c r="I54" s="9"/>
      <c r="J54" s="9"/>
      <c r="K54" s="58"/>
      <c r="L54" s="309" t="s">
        <v>47</v>
      </c>
      <c r="M54" s="309"/>
      <c r="R54" s="1"/>
      <c r="S54" s="13"/>
      <c r="T54" s="13"/>
      <c r="U54" s="9"/>
      <c r="V54" s="9"/>
      <c r="W54" s="181"/>
      <c r="X54" s="309" t="s">
        <v>46</v>
      </c>
      <c r="Y54" s="309"/>
      <c r="AS54" s="1">
        <v>3</v>
      </c>
      <c r="AT54" s="23" t="s">
        <v>84</v>
      </c>
      <c r="AU54" s="13"/>
      <c r="AV54" s="9" t="s">
        <v>67</v>
      </c>
      <c r="AW54" s="9">
        <v>1000</v>
      </c>
      <c r="AX54" s="181">
        <v>1000</v>
      </c>
      <c r="AY54" s="181"/>
      <c r="AZ54" s="8">
        <f t="shared" si="5"/>
        <v>0</v>
      </c>
      <c r="BA54" s="8"/>
      <c r="BB54" s="8"/>
      <c r="BC54" s="307"/>
      <c r="BD54" s="307"/>
    </row>
    <row r="55" spans="1:56" ht="12.75" customHeight="1" x14ac:dyDescent="0.2">
      <c r="A55" s="28">
        <v>11</v>
      </c>
      <c r="B55" s="8"/>
      <c r="C55" s="8"/>
      <c r="D55" s="8"/>
      <c r="E55" s="8"/>
      <c r="F55" s="9"/>
      <c r="G55" s="181"/>
      <c r="H55" s="9"/>
      <c r="I55" s="59"/>
      <c r="J55" s="59"/>
      <c r="K55" s="9"/>
      <c r="L55" s="309"/>
      <c r="M55" s="309"/>
      <c r="R55" s="1"/>
      <c r="S55" s="8"/>
      <c r="T55" s="8"/>
      <c r="U55" s="8"/>
      <c r="V55" s="8"/>
      <c r="W55" s="9"/>
      <c r="X55" s="309"/>
      <c r="Y55" s="309"/>
      <c r="AS55" s="1">
        <v>4</v>
      </c>
      <c r="AT55" s="13" t="s">
        <v>85</v>
      </c>
      <c r="AU55" s="13"/>
      <c r="AV55" s="9" t="s">
        <v>67</v>
      </c>
      <c r="AW55" s="9">
        <v>1000</v>
      </c>
      <c r="AX55" s="9">
        <v>1000</v>
      </c>
      <c r="AY55" s="9"/>
      <c r="AZ55" s="8">
        <f t="shared" si="5"/>
        <v>0</v>
      </c>
      <c r="BA55" s="8"/>
      <c r="BB55" s="8"/>
      <c r="BC55" s="26" t="s">
        <v>37</v>
      </c>
      <c r="BD55" s="27">
        <f>SUM(AW52:AW73)</f>
        <v>5000</v>
      </c>
    </row>
    <row r="56" spans="1:56" ht="12.75" customHeight="1" x14ac:dyDescent="0.2">
      <c r="A56" s="28">
        <v>12</v>
      </c>
      <c r="B56" s="8"/>
      <c r="C56" s="8"/>
      <c r="D56" s="8"/>
      <c r="E56" s="8"/>
      <c r="F56" s="9"/>
      <c r="G56" s="181"/>
      <c r="H56" s="9"/>
      <c r="I56" s="9"/>
      <c r="J56" s="9"/>
      <c r="K56" s="9"/>
      <c r="L56" s="316">
        <f>M45*30/100</f>
        <v>6810</v>
      </c>
      <c r="M56" s="316"/>
      <c r="R56" s="1"/>
      <c r="S56" s="8"/>
      <c r="T56" s="8"/>
      <c r="U56" s="8"/>
      <c r="V56" s="8"/>
      <c r="W56" s="9"/>
      <c r="X56" s="316">
        <f>Y51*70/100</f>
        <v>9800</v>
      </c>
      <c r="Y56" s="316"/>
      <c r="AS56" s="1">
        <v>5</v>
      </c>
      <c r="AT56" s="13" t="s">
        <v>86</v>
      </c>
      <c r="AU56" s="13"/>
      <c r="AV56" s="9" t="s">
        <v>67</v>
      </c>
      <c r="AW56" s="9">
        <v>1000</v>
      </c>
      <c r="AX56" s="9">
        <v>0</v>
      </c>
      <c r="AY56" s="9"/>
      <c r="AZ56" s="8">
        <f t="shared" si="5"/>
        <v>1000</v>
      </c>
      <c r="BA56" s="8"/>
      <c r="BB56" s="33"/>
      <c r="BC56" s="26" t="s">
        <v>39</v>
      </c>
      <c r="BD56" s="27">
        <f>SUM(AX52:AX70)</f>
        <v>4000</v>
      </c>
    </row>
    <row r="57" spans="1:56" ht="12.75" customHeight="1" x14ac:dyDescent="0.2">
      <c r="A57" s="28">
        <v>13</v>
      </c>
      <c r="B57" s="8"/>
      <c r="C57" s="8"/>
      <c r="D57" s="8"/>
      <c r="E57" s="8"/>
      <c r="F57" s="9"/>
      <c r="G57" s="9"/>
      <c r="H57" s="9"/>
      <c r="I57" s="9"/>
      <c r="J57" s="9"/>
      <c r="K57" s="9"/>
      <c r="L57" s="316"/>
      <c r="M57" s="316"/>
      <c r="R57" s="1"/>
      <c r="S57" s="8"/>
      <c r="T57" s="8"/>
      <c r="U57" s="8"/>
      <c r="V57" s="9"/>
      <c r="W57" s="9"/>
      <c r="X57" s="316"/>
      <c r="Y57" s="316"/>
      <c r="AS57" s="1">
        <v>6</v>
      </c>
      <c r="AX57" s="9"/>
      <c r="AY57" s="181"/>
      <c r="AZ57" s="8">
        <f t="shared" si="5"/>
        <v>0</v>
      </c>
      <c r="BA57" s="8"/>
      <c r="BB57" s="33"/>
      <c r="BC57" s="26" t="s">
        <v>45</v>
      </c>
      <c r="BD57" s="27">
        <f>SUM(AZ52:AZ71)</f>
        <v>1000</v>
      </c>
    </row>
    <row r="58" spans="1:56" ht="12.75" customHeight="1" x14ac:dyDescent="0.2">
      <c r="A58" s="60">
        <v>14</v>
      </c>
      <c r="B58" s="8"/>
      <c r="C58" s="8"/>
      <c r="D58" s="8"/>
      <c r="E58" s="8"/>
      <c r="F58" s="9"/>
      <c r="G58" s="9"/>
      <c r="H58" s="9"/>
      <c r="I58" s="9"/>
      <c r="J58" s="9"/>
      <c r="K58" s="9"/>
      <c r="L58" s="8"/>
      <c r="M58" s="8"/>
      <c r="O58" s="3">
        <v>1000</v>
      </c>
      <c r="R58" s="1"/>
      <c r="S58" s="8"/>
      <c r="T58" s="8"/>
      <c r="U58" s="8"/>
      <c r="V58" s="8"/>
      <c r="W58" s="9"/>
      <c r="X58" s="8"/>
      <c r="Y58" s="8"/>
      <c r="AS58" s="1">
        <v>7</v>
      </c>
      <c r="AT58" s="13"/>
      <c r="AU58" s="13"/>
      <c r="AV58" s="9"/>
      <c r="AW58" s="9"/>
      <c r="AX58" s="9"/>
      <c r="AY58" s="181"/>
      <c r="AZ58" s="8">
        <f t="shared" si="5"/>
        <v>0</v>
      </c>
      <c r="BA58" s="8"/>
      <c r="BB58" s="8"/>
      <c r="BC58" s="8"/>
      <c r="BD58" s="8"/>
    </row>
    <row r="59" spans="1:56" ht="12.75" customHeight="1" x14ac:dyDescent="0.2">
      <c r="A59" s="60">
        <v>15</v>
      </c>
      <c r="B59" s="8"/>
      <c r="C59" s="8"/>
      <c r="D59" s="8"/>
      <c r="E59" s="8"/>
      <c r="F59" s="9"/>
      <c r="G59" s="9"/>
      <c r="H59" s="9"/>
      <c r="I59" s="9"/>
      <c r="J59" s="9"/>
      <c r="K59" s="9"/>
      <c r="L59" s="8"/>
      <c r="M59" s="8"/>
      <c r="O59" s="3">
        <v>500</v>
      </c>
      <c r="R59" s="9"/>
      <c r="S59" s="8"/>
      <c r="T59" s="8"/>
      <c r="U59" s="8"/>
      <c r="V59" s="8"/>
      <c r="W59" s="9"/>
      <c r="X59" s="8"/>
      <c r="Y59" s="8"/>
      <c r="AS59" s="1">
        <v>8</v>
      </c>
      <c r="AT59" s="8"/>
      <c r="AU59" s="8"/>
      <c r="AV59" s="8"/>
      <c r="AW59" s="8"/>
      <c r="AX59" s="9"/>
      <c r="AY59" s="181"/>
      <c r="AZ59" s="8">
        <f t="shared" si="5"/>
        <v>0</v>
      </c>
      <c r="BA59" s="8"/>
      <c r="BB59" s="8"/>
      <c r="BC59" s="309" t="s">
        <v>46</v>
      </c>
      <c r="BD59" s="309"/>
    </row>
    <row r="60" spans="1:56" ht="12.75" customHeight="1" x14ac:dyDescent="0.2">
      <c r="A60" s="60">
        <v>16</v>
      </c>
      <c r="B60" s="8"/>
      <c r="C60" s="8"/>
      <c r="D60" s="8"/>
      <c r="E60" s="8"/>
      <c r="F60" s="9"/>
      <c r="G60" s="9"/>
      <c r="H60" s="9"/>
      <c r="I60" s="9"/>
      <c r="J60" s="9"/>
      <c r="K60" s="9"/>
      <c r="L60" s="307" t="s">
        <v>24</v>
      </c>
      <c r="M60" s="307"/>
      <c r="N60" s="3" t="s">
        <v>87</v>
      </c>
      <c r="O60" s="3">
        <v>2000</v>
      </c>
      <c r="R60" s="9"/>
      <c r="S60" s="8"/>
      <c r="T60" s="8"/>
      <c r="U60" s="8"/>
      <c r="V60" s="8"/>
      <c r="W60" s="9"/>
      <c r="X60" s="309" t="s">
        <v>47</v>
      </c>
      <c r="Y60" s="309"/>
      <c r="AS60" s="1">
        <v>9</v>
      </c>
      <c r="AT60" s="8"/>
      <c r="AU60" s="8"/>
      <c r="AV60" s="8"/>
      <c r="AW60" s="8"/>
      <c r="AX60" s="9"/>
      <c r="AY60" s="181"/>
      <c r="AZ60" s="8">
        <f t="shared" si="5"/>
        <v>0</v>
      </c>
      <c r="BA60" s="8"/>
      <c r="BB60" s="8"/>
      <c r="BC60" s="309"/>
      <c r="BD60" s="309"/>
    </row>
    <row r="61" spans="1:56" ht="12.75" customHeight="1" x14ac:dyDescent="0.2">
      <c r="A61" s="60">
        <v>17</v>
      </c>
      <c r="B61" s="13"/>
      <c r="C61" s="13"/>
      <c r="D61" s="9"/>
      <c r="E61" s="181"/>
      <c r="F61" s="9"/>
      <c r="G61" s="9"/>
      <c r="H61" s="9"/>
      <c r="I61" s="9"/>
      <c r="J61" s="9"/>
      <c r="K61" s="9"/>
      <c r="L61" s="307"/>
      <c r="M61" s="307"/>
      <c r="N61" s="3" t="s">
        <v>88</v>
      </c>
      <c r="O61" s="3">
        <v>1000</v>
      </c>
      <c r="R61" s="9"/>
      <c r="S61" s="8"/>
      <c r="T61" s="8"/>
      <c r="U61" s="8"/>
      <c r="V61" s="8"/>
      <c r="W61" s="9"/>
      <c r="X61" s="309"/>
      <c r="Y61" s="309"/>
      <c r="AS61" s="28">
        <v>11</v>
      </c>
      <c r="AT61" s="8"/>
      <c r="AU61" s="8"/>
      <c r="AV61" s="8"/>
      <c r="AW61" s="8"/>
      <c r="AX61" s="9"/>
      <c r="AY61" s="181"/>
      <c r="AZ61" s="8">
        <f t="shared" si="5"/>
        <v>0</v>
      </c>
      <c r="BA61" s="8"/>
      <c r="BB61" s="8"/>
      <c r="BC61" s="312">
        <f>BD56*70/100</f>
        <v>2800</v>
      </c>
      <c r="BD61" s="313"/>
    </row>
    <row r="62" spans="1:56" ht="12.75" customHeight="1" x14ac:dyDescent="0.2">
      <c r="A62" s="60"/>
      <c r="B62" s="13"/>
      <c r="C62" s="13"/>
      <c r="D62" s="9"/>
      <c r="E62" s="9"/>
      <c r="F62" s="9"/>
      <c r="G62" s="9"/>
      <c r="H62" s="181"/>
      <c r="I62" s="9"/>
      <c r="J62" s="9"/>
      <c r="K62" s="9"/>
      <c r="L62" s="316">
        <f>L50+L56</f>
        <v>22700</v>
      </c>
      <c r="M62" s="316"/>
      <c r="O62" s="3">
        <v>2000</v>
      </c>
      <c r="R62" s="9"/>
      <c r="S62" s="13"/>
      <c r="T62" s="13"/>
      <c r="U62" s="9"/>
      <c r="V62" s="181"/>
      <c r="W62" s="9"/>
      <c r="X62" s="316">
        <f>Y51*30/100</f>
        <v>4200</v>
      </c>
      <c r="Y62" s="316"/>
      <c r="AS62" s="28">
        <v>12</v>
      </c>
      <c r="AT62" s="8"/>
      <c r="AU62" s="8"/>
      <c r="AV62" s="8"/>
      <c r="AW62" s="8"/>
      <c r="AX62" s="9"/>
      <c r="AY62" s="181"/>
      <c r="AZ62" s="8">
        <f t="shared" si="5"/>
        <v>0</v>
      </c>
      <c r="BA62" s="9"/>
      <c r="BB62" s="58"/>
      <c r="BC62" s="314"/>
      <c r="BD62" s="315"/>
    </row>
    <row r="63" spans="1:56" ht="12.75" customHeight="1" x14ac:dyDescent="0.2">
      <c r="B63" s="8"/>
      <c r="C63" s="8"/>
      <c r="D63" s="9"/>
      <c r="E63" s="9"/>
      <c r="F63" s="9"/>
      <c r="G63" s="9"/>
      <c r="H63" s="181"/>
      <c r="I63" s="9"/>
      <c r="J63" s="9"/>
      <c r="K63" s="9"/>
      <c r="L63" s="316"/>
      <c r="M63" s="316"/>
      <c r="O63" s="3">
        <v>5000</v>
      </c>
      <c r="R63" s="9"/>
      <c r="S63" s="13"/>
      <c r="T63" s="13"/>
      <c r="U63" s="9"/>
      <c r="V63" s="9"/>
      <c r="W63" s="9"/>
      <c r="X63" s="316"/>
      <c r="Y63" s="316"/>
      <c r="AS63" s="28">
        <v>13</v>
      </c>
      <c r="AT63" s="8"/>
      <c r="AU63" s="8"/>
      <c r="AV63" s="8"/>
      <c r="AW63" s="8"/>
      <c r="AX63" s="9"/>
      <c r="AY63" s="181"/>
      <c r="AZ63" s="8">
        <f t="shared" si="5"/>
        <v>0</v>
      </c>
      <c r="BA63" s="59"/>
      <c r="BB63" s="9"/>
      <c r="BC63" s="8"/>
      <c r="BD63" s="8"/>
    </row>
    <row r="64" spans="1:56" ht="12.75" customHeight="1" x14ac:dyDescent="0.2">
      <c r="A64" s="9"/>
      <c r="B64" s="8"/>
      <c r="C64" s="8"/>
      <c r="D64" s="9"/>
      <c r="E64" s="9"/>
      <c r="F64" s="9"/>
      <c r="G64" s="183"/>
      <c r="K64" s="9"/>
      <c r="L64" s="8"/>
      <c r="M64" s="8"/>
      <c r="O64" s="3">
        <v>600</v>
      </c>
      <c r="R64" s="8"/>
      <c r="S64" s="8"/>
      <c r="T64" s="8"/>
      <c r="U64" s="9"/>
      <c r="V64" s="9"/>
      <c r="W64" s="9"/>
      <c r="X64" s="8"/>
      <c r="Y64" s="8"/>
      <c r="AS64" s="60">
        <v>14</v>
      </c>
      <c r="AT64" s="8"/>
      <c r="AU64" s="8"/>
      <c r="AV64" s="8"/>
      <c r="AW64" s="8"/>
      <c r="AX64" s="9"/>
      <c r="AY64" s="181"/>
      <c r="AZ64" s="8">
        <f t="shared" si="5"/>
        <v>0</v>
      </c>
      <c r="BA64" s="9"/>
      <c r="BB64" s="9"/>
      <c r="BC64" s="8"/>
      <c r="BD64" s="8"/>
    </row>
    <row r="65" spans="1:56" ht="12.75" customHeight="1" x14ac:dyDescent="0.2">
      <c r="A65" s="9"/>
      <c r="D65" s="9"/>
      <c r="E65" s="61"/>
      <c r="G65" s="9"/>
      <c r="H65" s="9"/>
      <c r="I65" s="9"/>
      <c r="J65" s="9"/>
      <c r="K65" s="9"/>
      <c r="L65" s="309" t="s">
        <v>48</v>
      </c>
      <c r="M65" s="309"/>
      <c r="O65" s="3">
        <v>4500</v>
      </c>
      <c r="R65" s="9"/>
      <c r="S65" s="8"/>
      <c r="T65" s="8"/>
      <c r="U65" s="9"/>
      <c r="V65" s="9"/>
      <c r="W65" s="9"/>
      <c r="X65" s="8"/>
      <c r="Y65" s="8"/>
      <c r="AS65" s="60">
        <v>15</v>
      </c>
      <c r="AT65" s="8"/>
      <c r="AU65" s="8"/>
      <c r="AV65" s="8"/>
      <c r="AW65" s="8"/>
      <c r="AX65" s="9"/>
      <c r="AY65" s="9"/>
      <c r="AZ65" s="8">
        <f t="shared" si="5"/>
        <v>0</v>
      </c>
      <c r="BA65" s="9"/>
      <c r="BB65" s="9"/>
      <c r="BC65" s="309" t="s">
        <v>47</v>
      </c>
      <c r="BD65" s="309"/>
    </row>
    <row r="66" spans="1:56" ht="12.75" customHeight="1" x14ac:dyDescent="0.2">
      <c r="A66" s="9"/>
      <c r="G66" s="9"/>
      <c r="H66" s="9"/>
      <c r="I66" s="9"/>
      <c r="J66" s="9"/>
      <c r="K66" s="9"/>
      <c r="L66" s="309"/>
      <c r="M66" s="309"/>
      <c r="O66" s="3">
        <f>SUM(O58:O65)</f>
        <v>16600</v>
      </c>
      <c r="R66" s="9"/>
      <c r="S66" s="8"/>
      <c r="T66" s="8"/>
      <c r="U66" s="9"/>
      <c r="V66" s="9"/>
      <c r="W66" s="8"/>
      <c r="X66" s="307" t="s">
        <v>24</v>
      </c>
      <c r="Y66" s="307"/>
      <c r="AS66" s="60">
        <v>16</v>
      </c>
      <c r="AT66" s="8"/>
      <c r="AU66" s="8"/>
      <c r="AV66" s="8"/>
      <c r="AW66" s="8"/>
      <c r="AX66" s="9"/>
      <c r="AY66" s="9"/>
      <c r="AZ66" s="8">
        <f t="shared" si="5"/>
        <v>0</v>
      </c>
      <c r="BA66" s="9"/>
      <c r="BB66" s="9"/>
      <c r="BC66" s="309"/>
      <c r="BD66" s="309"/>
    </row>
    <row r="67" spans="1:56" ht="12.75" customHeight="1" x14ac:dyDescent="0.2">
      <c r="A67" s="9"/>
      <c r="L67" s="316">
        <v>16600</v>
      </c>
      <c r="M67" s="316"/>
      <c r="R67" s="9"/>
      <c r="S67" s="8"/>
      <c r="T67" s="8"/>
      <c r="U67" s="8"/>
      <c r="V67" s="8"/>
      <c r="W67" s="8"/>
      <c r="X67" s="307"/>
      <c r="Y67" s="307"/>
      <c r="AS67" s="60">
        <v>17</v>
      </c>
      <c r="AT67" s="8"/>
      <c r="AU67" s="8"/>
      <c r="AV67" s="8"/>
      <c r="AW67" s="8"/>
      <c r="AX67" s="9"/>
      <c r="AY67" s="9"/>
      <c r="AZ67" s="8">
        <f t="shared" si="5"/>
        <v>0</v>
      </c>
      <c r="BA67" s="9"/>
      <c r="BB67" s="9"/>
      <c r="BC67" s="316">
        <f>BD56*30/100</f>
        <v>1200</v>
      </c>
      <c r="BD67" s="316"/>
    </row>
    <row r="68" spans="1:56" ht="12.75" customHeight="1" x14ac:dyDescent="0.2">
      <c r="L68" s="316"/>
      <c r="M68" s="316"/>
      <c r="R68" s="9"/>
      <c r="S68" s="8"/>
      <c r="T68" s="8"/>
      <c r="U68" s="8"/>
      <c r="V68" s="8"/>
      <c r="W68" s="8"/>
      <c r="X68" s="316">
        <f>X56+X62</f>
        <v>14000</v>
      </c>
      <c r="Y68" s="316"/>
      <c r="AS68" s="60"/>
      <c r="AT68" s="8"/>
      <c r="AU68" s="8"/>
      <c r="AV68" s="8"/>
      <c r="AW68" s="8"/>
      <c r="AX68" s="9"/>
      <c r="AY68" s="9"/>
      <c r="AZ68" s="8">
        <f t="shared" si="5"/>
        <v>0</v>
      </c>
      <c r="BA68" s="9"/>
      <c r="BB68" s="9"/>
      <c r="BC68" s="316"/>
      <c r="BD68" s="316"/>
    </row>
    <row r="69" spans="1:56" ht="12.75" customHeight="1" x14ac:dyDescent="0.2">
      <c r="L69" s="8"/>
      <c r="M69" s="8"/>
      <c r="R69" s="8"/>
      <c r="S69" s="8"/>
      <c r="T69" s="8"/>
      <c r="U69" s="8"/>
      <c r="V69" s="8"/>
      <c r="W69" s="8"/>
      <c r="X69" s="316"/>
      <c r="Y69" s="316"/>
      <c r="AT69" s="8"/>
      <c r="AU69" s="8"/>
      <c r="AV69" s="8"/>
      <c r="AW69" s="8"/>
      <c r="AX69" s="9"/>
      <c r="AY69" s="9"/>
      <c r="AZ69" s="8">
        <f t="shared" si="5"/>
        <v>0</v>
      </c>
      <c r="BA69" s="9"/>
      <c r="BB69" s="9"/>
      <c r="BC69" s="8"/>
      <c r="BD69" s="8"/>
    </row>
    <row r="70" spans="1:56" ht="12.75" customHeight="1" x14ac:dyDescent="0.2">
      <c r="L70" s="309" t="s">
        <v>49</v>
      </c>
      <c r="M70" s="309"/>
      <c r="R70" s="8"/>
      <c r="S70" s="8"/>
      <c r="T70" s="8"/>
      <c r="U70" s="8"/>
      <c r="V70" s="8"/>
      <c r="W70" s="8"/>
      <c r="X70" s="8"/>
      <c r="Y70" s="8"/>
      <c r="AS70" s="9"/>
      <c r="AT70" s="13"/>
      <c r="AU70" s="13"/>
      <c r="AV70" s="9"/>
      <c r="AW70" s="181"/>
      <c r="AX70" s="9"/>
      <c r="AY70" s="9"/>
      <c r="AZ70" s="8">
        <f t="shared" si="5"/>
        <v>0</v>
      </c>
      <c r="BA70" s="9"/>
      <c r="BB70" s="9"/>
      <c r="BC70" s="8"/>
      <c r="BD70" s="8"/>
    </row>
    <row r="71" spans="1:56" ht="12.75" customHeight="1" x14ac:dyDescent="0.2">
      <c r="L71" s="309"/>
      <c r="M71" s="309"/>
      <c r="R71" s="8"/>
      <c r="S71" s="8"/>
      <c r="T71" s="8"/>
      <c r="U71" s="8"/>
      <c r="V71" s="8"/>
      <c r="W71" s="8"/>
      <c r="X71" s="309" t="s">
        <v>48</v>
      </c>
      <c r="Y71" s="309"/>
      <c r="AS71" s="9"/>
      <c r="AT71" s="13"/>
      <c r="AU71" s="13"/>
      <c r="AV71" s="9"/>
      <c r="AW71" s="9"/>
      <c r="AX71" s="9"/>
      <c r="AY71" s="9"/>
      <c r="AZ71" s="8">
        <f t="shared" si="5"/>
        <v>0</v>
      </c>
      <c r="BA71" s="9"/>
      <c r="BB71" s="9"/>
      <c r="BC71" s="307" t="s">
        <v>24</v>
      </c>
      <c r="BD71" s="307"/>
    </row>
    <row r="72" spans="1:56" ht="12.75" customHeight="1" x14ac:dyDescent="0.2">
      <c r="L72" s="316">
        <f>L50-L67</f>
        <v>-710</v>
      </c>
      <c r="M72" s="316"/>
      <c r="R72" s="8"/>
      <c r="S72" s="8"/>
      <c r="T72" s="8"/>
      <c r="U72" s="8"/>
      <c r="V72" s="8"/>
      <c r="W72" s="8"/>
      <c r="X72" s="309"/>
      <c r="Y72" s="309"/>
      <c r="AS72" s="9"/>
      <c r="AT72" s="8"/>
      <c r="AU72" s="8"/>
      <c r="AV72" s="9"/>
      <c r="AW72" s="9"/>
      <c r="AX72" s="9"/>
      <c r="AY72" s="183"/>
      <c r="AZ72" s="8">
        <f t="shared" si="5"/>
        <v>0</v>
      </c>
      <c r="BB72" s="9"/>
      <c r="BC72" s="307"/>
      <c r="BD72" s="307"/>
    </row>
    <row r="73" spans="1:56" ht="12.75" customHeight="1" x14ac:dyDescent="0.2">
      <c r="L73" s="316"/>
      <c r="M73" s="316"/>
      <c r="R73" s="8"/>
      <c r="S73" s="8"/>
      <c r="T73" s="8"/>
      <c r="U73" s="8"/>
      <c r="V73" s="8"/>
      <c r="W73" s="8"/>
      <c r="X73" s="316">
        <v>3000</v>
      </c>
      <c r="Y73" s="316"/>
      <c r="AS73" s="9"/>
      <c r="AT73" s="8"/>
      <c r="AU73" s="8"/>
      <c r="AV73" s="9"/>
      <c r="AW73" s="9"/>
      <c r="AX73" s="9"/>
      <c r="AY73" s="9"/>
      <c r="AZ73" s="8">
        <f t="shared" si="5"/>
        <v>0</v>
      </c>
      <c r="BA73" s="9"/>
      <c r="BB73" s="9"/>
      <c r="BC73" s="316">
        <f>BC61+BC67</f>
        <v>4000</v>
      </c>
      <c r="BD73" s="316"/>
    </row>
    <row r="74" spans="1:56" ht="12.75" customHeight="1" x14ac:dyDescent="0.2">
      <c r="R74" s="8"/>
      <c r="S74" s="8"/>
      <c r="T74" s="8"/>
      <c r="U74" s="8"/>
      <c r="V74" s="8"/>
      <c r="W74" s="8"/>
      <c r="X74" s="316"/>
      <c r="Y74" s="316"/>
      <c r="AV74" s="9"/>
      <c r="AW74" s="61"/>
      <c r="AY74" s="9"/>
      <c r="AZ74" s="8">
        <f t="shared" si="5"/>
        <v>0</v>
      </c>
      <c r="BA74" s="9"/>
      <c r="BB74" s="9"/>
      <c r="BC74" s="316"/>
      <c r="BD74" s="316"/>
    </row>
    <row r="75" spans="1:56" ht="12.75" customHeight="1" x14ac:dyDescent="0.2">
      <c r="R75" s="8"/>
      <c r="S75" s="8"/>
      <c r="T75" s="8"/>
      <c r="U75" s="8"/>
      <c r="V75" s="8"/>
      <c r="W75" s="8"/>
      <c r="X75" s="8"/>
      <c r="Y75" s="8"/>
      <c r="BC75" s="8"/>
      <c r="BD75" s="8"/>
    </row>
    <row r="76" spans="1:56" ht="12.75" customHeight="1" x14ac:dyDescent="0.2">
      <c r="R76" s="8"/>
      <c r="S76" s="8"/>
      <c r="T76" s="8"/>
      <c r="U76" s="8"/>
      <c r="V76" s="8"/>
      <c r="W76" s="8"/>
      <c r="X76" s="309" t="s">
        <v>49</v>
      </c>
      <c r="Y76" s="309"/>
      <c r="BC76" s="309" t="s">
        <v>48</v>
      </c>
      <c r="BD76" s="309"/>
    </row>
    <row r="77" spans="1:56" ht="12.75" customHeight="1" x14ac:dyDescent="0.2">
      <c r="R77" s="8"/>
      <c r="S77" s="8"/>
      <c r="T77" s="8"/>
      <c r="U77" s="8"/>
      <c r="V77" s="8"/>
      <c r="W77" s="8"/>
      <c r="X77" s="309"/>
      <c r="Y77" s="309"/>
      <c r="BC77" s="309"/>
      <c r="BD77" s="309"/>
    </row>
    <row r="78" spans="1:56" ht="12.75" customHeight="1" x14ac:dyDescent="0.2">
      <c r="R78" s="8"/>
      <c r="S78" s="8"/>
      <c r="T78" s="8"/>
      <c r="U78" s="8"/>
      <c r="V78" s="8"/>
      <c r="W78" s="8"/>
      <c r="X78" s="180">
        <f>X56-X73</f>
        <v>6800</v>
      </c>
      <c r="Y78" s="180"/>
      <c r="BC78" s="316">
        <v>0</v>
      </c>
      <c r="BD78" s="316"/>
    </row>
    <row r="79" spans="1:56" ht="12.75" customHeight="1" x14ac:dyDescent="0.2">
      <c r="S79" s="51"/>
      <c r="T79" s="51"/>
      <c r="BC79" s="316"/>
      <c r="BD79" s="316"/>
    </row>
    <row r="80" spans="1:56" ht="12.75" customHeight="1" x14ac:dyDescent="0.2">
      <c r="BC80" s="8"/>
      <c r="BD80" s="8"/>
    </row>
    <row r="81" spans="55:56" ht="12.75" customHeight="1" x14ac:dyDescent="0.2">
      <c r="BC81" s="309" t="s">
        <v>49</v>
      </c>
      <c r="BD81" s="309"/>
    </row>
    <row r="82" spans="55:56" ht="12.75" customHeight="1" x14ac:dyDescent="0.2">
      <c r="BC82" s="309"/>
      <c r="BD82" s="309"/>
    </row>
    <row r="83" spans="55:56" ht="12.75" customHeight="1" x14ac:dyDescent="0.2">
      <c r="BC83" s="316">
        <f>BC61-BC78</f>
        <v>2800</v>
      </c>
      <c r="BD83" s="316"/>
    </row>
    <row r="84" spans="55:56" ht="12.75" customHeight="1" x14ac:dyDescent="0.2">
      <c r="BC84" s="316"/>
      <c r="BD84" s="316"/>
    </row>
  </sheetData>
  <mergeCells count="104">
    <mergeCell ref="AW29:AX30"/>
    <mergeCell ref="AL29:AM30"/>
    <mergeCell ref="AB29:AC30"/>
    <mergeCell ref="Q29:R30"/>
    <mergeCell ref="G29:H30"/>
    <mergeCell ref="X76:Y77"/>
    <mergeCell ref="BC76:BD77"/>
    <mergeCell ref="BC78:BD79"/>
    <mergeCell ref="X60:Y61"/>
    <mergeCell ref="BC61:BD62"/>
    <mergeCell ref="L62:M63"/>
    <mergeCell ref="X46:Y47"/>
    <mergeCell ref="L48:M49"/>
    <mergeCell ref="X48:Y49"/>
    <mergeCell ref="AT48:BC50"/>
    <mergeCell ref="BD48:BD50"/>
    <mergeCell ref="L50:M51"/>
    <mergeCell ref="BC51:BD52"/>
    <mergeCell ref="G36:H36"/>
    <mergeCell ref="Q36:R36"/>
    <mergeCell ref="L40:M41"/>
    <mergeCell ref="L42:M43"/>
    <mergeCell ref="R43:Y45"/>
    <mergeCell ref="G31:H32"/>
    <mergeCell ref="BC81:BD82"/>
    <mergeCell ref="BC83:BD84"/>
    <mergeCell ref="AL36:AM37"/>
    <mergeCell ref="AB36:AC37"/>
    <mergeCell ref="L70:M71"/>
    <mergeCell ref="X71:Y72"/>
    <mergeCell ref="BC71:BD72"/>
    <mergeCell ref="L72:M73"/>
    <mergeCell ref="X73:Y74"/>
    <mergeCell ref="BC73:BD74"/>
    <mergeCell ref="X62:Y63"/>
    <mergeCell ref="L65:M66"/>
    <mergeCell ref="BC65:BD66"/>
    <mergeCell ref="X66:Y67"/>
    <mergeCell ref="L67:M68"/>
    <mergeCell ref="BC67:BD68"/>
    <mergeCell ref="X68:Y69"/>
    <mergeCell ref="BC53:BD54"/>
    <mergeCell ref="L54:M55"/>
    <mergeCell ref="X54:Y55"/>
    <mergeCell ref="L56:M57"/>
    <mergeCell ref="X56:Y57"/>
    <mergeCell ref="BC59:BD60"/>
    <mergeCell ref="L60:M61"/>
    <mergeCell ref="Q31:R32"/>
    <mergeCell ref="AB31:AC32"/>
    <mergeCell ref="AL31:AM32"/>
    <mergeCell ref="AW31:AX32"/>
    <mergeCell ref="G34:H35"/>
    <mergeCell ref="Q34:R35"/>
    <mergeCell ref="AB34:AC35"/>
    <mergeCell ref="AL34:AM35"/>
    <mergeCell ref="AW34:AX35"/>
    <mergeCell ref="G26:H27"/>
    <mergeCell ref="Q26:R27"/>
    <mergeCell ref="AB26:AC27"/>
    <mergeCell ref="AL26:AM27"/>
    <mergeCell ref="AW26:AX27"/>
    <mergeCell ref="G20:H21"/>
    <mergeCell ref="Q20:R21"/>
    <mergeCell ref="AB20:AC21"/>
    <mergeCell ref="AL20:AM21"/>
    <mergeCell ref="AW20:AX21"/>
    <mergeCell ref="G24:H25"/>
    <mergeCell ref="Q24:R25"/>
    <mergeCell ref="AB24:AC25"/>
    <mergeCell ref="AL24:AM25"/>
    <mergeCell ref="AW24:AX25"/>
    <mergeCell ref="G14:H15"/>
    <mergeCell ref="Q14:R15"/>
    <mergeCell ref="AB14:AC15"/>
    <mergeCell ref="AL14:AM15"/>
    <mergeCell ref="AW14:AX15"/>
    <mergeCell ref="G18:H19"/>
    <mergeCell ref="Q18:R19"/>
    <mergeCell ref="AB18:AC19"/>
    <mergeCell ref="AL18:AM19"/>
    <mergeCell ref="AW18:AX19"/>
    <mergeCell ref="G6:H7"/>
    <mergeCell ref="Q6:R7"/>
    <mergeCell ref="AB6:AC7"/>
    <mergeCell ref="AL6:AM7"/>
    <mergeCell ref="AW6:AX7"/>
    <mergeCell ref="G12:H13"/>
    <mergeCell ref="Q12:R13"/>
    <mergeCell ref="AB12:AC13"/>
    <mergeCell ref="AL12:AM13"/>
    <mergeCell ref="AW12:AX13"/>
    <mergeCell ref="AY1:AY3"/>
    <mergeCell ref="G4:H5"/>
    <mergeCell ref="Q4:R5"/>
    <mergeCell ref="AB4:AC5"/>
    <mergeCell ref="AL4:AM5"/>
    <mergeCell ref="AW4:AX5"/>
    <mergeCell ref="A1:H3"/>
    <mergeCell ref="K1:R3"/>
    <mergeCell ref="V1:AC3"/>
    <mergeCell ref="AD1:AD3"/>
    <mergeCell ref="AF1:AM3"/>
    <mergeCell ref="AQ1:AX3"/>
  </mergeCells>
  <conditionalFormatting sqref="F7:F28 F43 F45:F47 G55:G63">
    <cfRule type="cellIs" dxfId="77" priority="15" operator="lessThan">
      <formula>500</formula>
    </cfRule>
  </conditionalFormatting>
  <conditionalFormatting sqref="F49:F64">
    <cfRule type="cellIs" dxfId="76" priority="11" operator="lessThan">
      <formula>500</formula>
    </cfRule>
  </conditionalFormatting>
  <conditionalFormatting sqref="G44:G51">
    <cfRule type="cellIs" dxfId="75" priority="12" operator="lessThan">
      <formula>500</formula>
    </cfRule>
  </conditionalFormatting>
  <conditionalFormatting sqref="G65:G66">
    <cfRule type="cellIs" dxfId="74" priority="14" operator="lessThan">
      <formula>500</formula>
    </cfRule>
  </conditionalFormatting>
  <conditionalFormatting sqref="P7 W47:W52 AX70:AY71 AX73:AY73">
    <cfRule type="cellIs" dxfId="73" priority="18" operator="lessThan">
      <formula>500</formula>
    </cfRule>
  </conditionalFormatting>
  <conditionalFormatting sqref="P11:P22 M23:M24">
    <cfRule type="cellIs" dxfId="72" priority="16" operator="lessThan">
      <formula>500</formula>
    </cfRule>
  </conditionalFormatting>
  <conditionalFormatting sqref="V57">
    <cfRule type="cellIs" dxfId="71" priority="2" operator="lessThan">
      <formula>500</formula>
    </cfRule>
  </conditionalFormatting>
  <conditionalFormatting sqref="W54:W65">
    <cfRule type="cellIs" dxfId="70" priority="17" operator="lessThan">
      <formula>500</formula>
    </cfRule>
  </conditionalFormatting>
  <conditionalFormatting sqref="AA5:AA26">
    <cfRule type="cellIs" dxfId="69" priority="9" operator="lessThan">
      <formula>500</formula>
    </cfRule>
  </conditionalFormatting>
  <conditionalFormatting sqref="AK5">
    <cfRule type="cellIs" dxfId="68" priority="4" operator="lessThan">
      <formula>500</formula>
    </cfRule>
  </conditionalFormatting>
  <conditionalFormatting sqref="AK7:AK26">
    <cfRule type="cellIs" dxfId="67" priority="3" operator="lessThan">
      <formula>500</formula>
    </cfRule>
  </conditionalFormatting>
  <conditionalFormatting sqref="AV5:AV36">
    <cfRule type="cellIs" dxfId="66" priority="1" operator="lessThan">
      <formula>500</formula>
    </cfRule>
  </conditionalFormatting>
  <conditionalFormatting sqref="AX52 AX54:AX69">
    <cfRule type="cellIs" dxfId="65" priority="8" operator="lessThan">
      <formula>500</formula>
    </cfRule>
  </conditionalFormatting>
  <conditionalFormatting sqref="AX72 AY74">
    <cfRule type="cellIs" dxfId="64" priority="7" operator="lessThan">
      <formula>500</formula>
    </cfRule>
  </conditionalFormatting>
  <conditionalFormatting sqref="AY52:AY69">
    <cfRule type="cellIs" dxfId="63" priority="5" operator="lessThan">
      <formula>500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4"/>
  <sheetViews>
    <sheetView zoomScaleNormal="100" workbookViewId="0">
      <selection activeCell="G26" sqref="G26:H27"/>
    </sheetView>
  </sheetViews>
  <sheetFormatPr defaultColWidth="9.140625" defaultRowHeight="12" x14ac:dyDescent="0.2"/>
  <cols>
    <col min="1" max="1" width="6.5703125" style="3" customWidth="1"/>
    <col min="2" max="2" width="15" style="3" customWidth="1"/>
    <col min="3" max="3" width="14" style="3" customWidth="1"/>
    <col min="4" max="4" width="11.140625" style="3" customWidth="1"/>
    <col min="5" max="5" width="7.5703125" style="3" customWidth="1"/>
    <col min="6" max="6" width="7.85546875" style="3" customWidth="1"/>
    <col min="7" max="7" width="10.5703125" style="3" customWidth="1"/>
    <col min="8" max="8" width="9.5703125" style="3" customWidth="1"/>
    <col min="9" max="10" width="5.85546875" style="3" customWidth="1"/>
    <col min="11" max="11" width="13" style="3" customWidth="1"/>
    <col min="12" max="12" width="15.7109375" style="3" customWidth="1"/>
    <col min="13" max="13" width="7" style="3" customWidth="1"/>
    <col min="14" max="14" width="10.7109375" style="3" customWidth="1"/>
    <col min="15" max="15" width="8.42578125" style="3" customWidth="1"/>
    <col min="16" max="16" width="8" style="3" customWidth="1"/>
    <col min="17" max="17" width="12.140625" style="3" customWidth="1"/>
    <col min="18" max="18" width="10.28515625" style="3" customWidth="1"/>
    <col min="19" max="19" width="14.85546875" style="3" customWidth="1"/>
    <col min="20" max="20" width="7.85546875" style="3" customWidth="1"/>
    <col min="21" max="22" width="13.5703125" style="3" customWidth="1"/>
    <col min="23" max="23" width="13" style="3" customWidth="1"/>
    <col min="24" max="24" width="13.5703125" style="3" customWidth="1"/>
    <col min="25" max="25" width="9.140625" style="3"/>
    <col min="26" max="26" width="11" style="3" customWidth="1"/>
    <col min="27" max="27" width="14.140625" style="3" customWidth="1"/>
    <col min="28" max="28" width="9.140625" style="3"/>
    <col min="29" max="29" width="7.140625" style="3" customWidth="1"/>
    <col min="30" max="30" width="14.85546875" style="3" customWidth="1"/>
    <col min="31" max="31" width="10.5703125" style="3" customWidth="1"/>
    <col min="32" max="32" width="10.7109375" style="3" customWidth="1"/>
    <col min="33" max="33" width="9.7109375" style="3" customWidth="1"/>
    <col min="34" max="34" width="10.5703125" style="3" customWidth="1"/>
    <col min="35" max="35" width="13.140625" style="3" customWidth="1"/>
    <col min="36" max="36" width="10.28515625" style="3" customWidth="1"/>
    <col min="37" max="37" width="9.140625" style="3"/>
    <col min="38" max="38" width="12.28515625" style="3" customWidth="1"/>
    <col min="39" max="39" width="15.5703125" style="3" customWidth="1"/>
    <col min="40" max="40" width="12" style="3" customWidth="1"/>
    <col min="41" max="41" width="23.85546875" style="3" customWidth="1"/>
    <col min="42" max="42" width="23.42578125" style="3" customWidth="1"/>
    <col min="43" max="43" width="11.5703125" style="3" customWidth="1"/>
    <col min="44" max="44" width="7.85546875" style="3" customWidth="1"/>
    <col min="45" max="45" width="9.140625" style="3"/>
    <col min="46" max="46" width="11.7109375" style="3" customWidth="1"/>
    <col min="47" max="47" width="11.140625" style="3" customWidth="1"/>
    <col min="48" max="48" width="11.42578125" style="3" customWidth="1"/>
    <col min="49" max="49" width="10.28515625" style="3" customWidth="1"/>
    <col min="50" max="50" width="10.5703125" style="3" customWidth="1"/>
    <col min="51" max="52" width="11.140625" style="3" customWidth="1"/>
    <col min="53" max="54" width="9.140625" style="3"/>
    <col min="55" max="56" width="13.42578125" style="3" customWidth="1"/>
    <col min="57" max="16384" width="9.140625" style="3"/>
  </cols>
  <sheetData>
    <row r="1" spans="1:37" ht="12.75" customHeight="1" x14ac:dyDescent="0.2">
      <c r="A1" s="302" t="s">
        <v>0</v>
      </c>
      <c r="B1" s="302"/>
      <c r="C1" s="302"/>
      <c r="D1" s="302"/>
      <c r="E1" s="302"/>
      <c r="F1" s="302"/>
      <c r="G1" s="66"/>
      <c r="H1" s="66"/>
      <c r="I1" s="54"/>
      <c r="J1" s="331" t="s">
        <v>0</v>
      </c>
      <c r="K1" s="332"/>
      <c r="L1" s="332"/>
      <c r="M1" s="332"/>
      <c r="N1" s="332"/>
      <c r="O1" s="332"/>
      <c r="P1" s="332"/>
      <c r="Q1" s="66"/>
      <c r="R1" s="66"/>
      <c r="T1" s="306" t="s">
        <v>0</v>
      </c>
      <c r="U1" s="304"/>
      <c r="V1" s="304"/>
      <c r="W1" s="304"/>
      <c r="X1" s="304"/>
      <c r="Y1" s="304"/>
      <c r="Z1" s="304"/>
      <c r="AA1" s="305"/>
      <c r="AB1" s="4"/>
      <c r="AC1" s="302" t="s">
        <v>0</v>
      </c>
      <c r="AD1" s="302"/>
      <c r="AE1" s="302"/>
      <c r="AF1" s="302"/>
      <c r="AG1" s="302"/>
      <c r="AH1" s="302"/>
      <c r="AI1" s="302"/>
      <c r="AJ1" s="302"/>
      <c r="AK1" s="289"/>
    </row>
    <row r="2" spans="1:37" ht="12.75" customHeight="1" x14ac:dyDescent="0.2">
      <c r="A2" s="302"/>
      <c r="B2" s="302"/>
      <c r="C2" s="302"/>
      <c r="D2" s="302"/>
      <c r="E2" s="302"/>
      <c r="F2" s="302"/>
      <c r="G2" s="66"/>
      <c r="H2" s="66"/>
      <c r="I2" s="54"/>
      <c r="J2" s="333"/>
      <c r="K2" s="302"/>
      <c r="L2" s="302"/>
      <c r="M2" s="302"/>
      <c r="N2" s="302"/>
      <c r="O2" s="302"/>
      <c r="P2" s="302"/>
      <c r="Q2" s="66"/>
      <c r="R2" s="66"/>
      <c r="T2" s="306"/>
      <c r="U2" s="304"/>
      <c r="V2" s="304"/>
      <c r="W2" s="304"/>
      <c r="X2" s="304"/>
      <c r="Y2" s="304"/>
      <c r="Z2" s="304"/>
      <c r="AA2" s="305"/>
      <c r="AB2" s="4"/>
      <c r="AC2" s="302"/>
      <c r="AD2" s="302"/>
      <c r="AE2" s="302"/>
      <c r="AF2" s="302"/>
      <c r="AG2" s="302"/>
      <c r="AH2" s="302"/>
      <c r="AI2" s="302"/>
      <c r="AJ2" s="302"/>
      <c r="AK2" s="289"/>
    </row>
    <row r="3" spans="1:37" ht="12.75" customHeight="1" x14ac:dyDescent="0.2">
      <c r="A3" s="303"/>
      <c r="B3" s="303"/>
      <c r="C3" s="303"/>
      <c r="D3" s="303"/>
      <c r="E3" s="303"/>
      <c r="F3" s="303"/>
      <c r="G3" s="67"/>
      <c r="H3" s="67"/>
      <c r="I3" s="54"/>
      <c r="J3" s="334"/>
      <c r="K3" s="303"/>
      <c r="L3" s="303"/>
      <c r="M3" s="303"/>
      <c r="N3" s="303"/>
      <c r="O3" s="303"/>
      <c r="P3" s="303"/>
      <c r="Q3" s="66"/>
      <c r="R3" s="66"/>
      <c r="T3" s="306"/>
      <c r="U3" s="304"/>
      <c r="V3" s="304"/>
      <c r="W3" s="304"/>
      <c r="X3" s="304"/>
      <c r="Y3" s="304"/>
      <c r="Z3" s="304"/>
      <c r="AA3" s="305"/>
      <c r="AB3" s="4"/>
      <c r="AC3" s="303"/>
      <c r="AD3" s="303"/>
      <c r="AE3" s="303"/>
      <c r="AF3" s="303"/>
      <c r="AG3" s="303"/>
      <c r="AH3" s="303"/>
      <c r="AI3" s="303"/>
      <c r="AJ3" s="303"/>
      <c r="AK3" s="290"/>
    </row>
    <row r="4" spans="1:37" ht="12.75" customHeight="1" x14ac:dyDescent="0.2">
      <c r="A4" s="75" t="s">
        <v>1</v>
      </c>
      <c r="B4" s="75" t="s">
        <v>2</v>
      </c>
      <c r="C4" s="75" t="s">
        <v>3</v>
      </c>
      <c r="D4" s="75" t="s">
        <v>4</v>
      </c>
      <c r="E4" s="75" t="s">
        <v>5</v>
      </c>
      <c r="F4" s="75" t="s">
        <v>6</v>
      </c>
      <c r="G4" s="335" t="s">
        <v>7</v>
      </c>
      <c r="H4" s="336"/>
      <c r="I4" s="76"/>
      <c r="J4" s="75" t="s">
        <v>1</v>
      </c>
      <c r="K4" s="75" t="s">
        <v>2</v>
      </c>
      <c r="L4" s="75" t="s">
        <v>3</v>
      </c>
      <c r="M4" s="75" t="s">
        <v>89</v>
      </c>
      <c r="N4" s="75" t="s">
        <v>4</v>
      </c>
      <c r="O4" s="75" t="s">
        <v>5</v>
      </c>
      <c r="P4" s="75" t="s">
        <v>6</v>
      </c>
      <c r="Q4" s="339" t="s">
        <v>8</v>
      </c>
      <c r="R4" s="340"/>
      <c r="S4" s="77"/>
      <c r="T4" s="7" t="s">
        <v>1</v>
      </c>
      <c r="U4" s="5" t="s">
        <v>2</v>
      </c>
      <c r="V4" s="5" t="s">
        <v>3</v>
      </c>
      <c r="W4" s="5" t="s">
        <v>4</v>
      </c>
      <c r="X4" s="5" t="s">
        <v>5</v>
      </c>
      <c r="Y4" s="5" t="s">
        <v>6</v>
      </c>
      <c r="Z4" s="343" t="s">
        <v>10</v>
      </c>
      <c r="AA4" s="344"/>
      <c r="AB4" s="183"/>
      <c r="AC4" s="5" t="s">
        <v>1</v>
      </c>
      <c r="AD4" s="5" t="s">
        <v>2</v>
      </c>
      <c r="AE4" s="5" t="s">
        <v>3</v>
      </c>
      <c r="AF4" s="5" t="s">
        <v>4</v>
      </c>
      <c r="AG4" s="5" t="s">
        <v>5</v>
      </c>
      <c r="AH4" s="5" t="s">
        <v>6</v>
      </c>
      <c r="AI4" s="298" t="s">
        <v>11</v>
      </c>
      <c r="AJ4" s="299"/>
    </row>
    <row r="5" spans="1:37" ht="12.75" customHeight="1" x14ac:dyDescent="0.2">
      <c r="A5" s="78">
        <v>1</v>
      </c>
      <c r="B5" s="79" t="s">
        <v>22</v>
      </c>
      <c r="C5" s="80" t="s">
        <v>90</v>
      </c>
      <c r="D5" s="81">
        <v>45849</v>
      </c>
      <c r="E5" s="80">
        <v>2000</v>
      </c>
      <c r="F5" s="82">
        <v>1000</v>
      </c>
      <c r="G5" s="337"/>
      <c r="H5" s="338"/>
      <c r="I5" s="76"/>
      <c r="J5" s="83">
        <v>1</v>
      </c>
      <c r="K5" s="76" t="s">
        <v>14</v>
      </c>
      <c r="L5" s="76" t="s">
        <v>15</v>
      </c>
      <c r="M5" s="76" t="s">
        <v>91</v>
      </c>
      <c r="N5" s="76" t="s">
        <v>16</v>
      </c>
      <c r="O5" s="76">
        <v>3000</v>
      </c>
      <c r="P5" s="76">
        <v>3000</v>
      </c>
      <c r="Q5" s="341"/>
      <c r="R5" s="342"/>
      <c r="S5" s="8"/>
      <c r="T5" s="14">
        <v>1</v>
      </c>
      <c r="U5" s="13" t="s">
        <v>17</v>
      </c>
      <c r="V5" s="9" t="s">
        <v>18</v>
      </c>
      <c r="W5" s="9" t="s">
        <v>19</v>
      </c>
      <c r="X5" s="9">
        <v>1500</v>
      </c>
      <c r="Y5" s="9">
        <v>1500</v>
      </c>
      <c r="Z5" s="345"/>
      <c r="AA5" s="344"/>
      <c r="AC5" s="1">
        <v>1</v>
      </c>
      <c r="AD5" s="15" t="s">
        <v>20</v>
      </c>
      <c r="AE5" s="9" t="s">
        <v>21</v>
      </c>
      <c r="AF5" s="10">
        <v>45971</v>
      </c>
      <c r="AG5" s="9">
        <v>1000</v>
      </c>
      <c r="AH5" s="9"/>
      <c r="AI5" s="300"/>
      <c r="AJ5" s="301"/>
    </row>
    <row r="6" spans="1:37" ht="12.75" customHeight="1" x14ac:dyDescent="0.2">
      <c r="A6" s="78">
        <v>2</v>
      </c>
      <c r="B6" s="84" t="s">
        <v>92</v>
      </c>
      <c r="C6" s="85"/>
      <c r="D6" s="85" t="s">
        <v>93</v>
      </c>
      <c r="E6" s="85">
        <v>4000</v>
      </c>
      <c r="F6" s="85">
        <v>4000</v>
      </c>
      <c r="G6" s="325" t="s">
        <v>24</v>
      </c>
      <c r="H6" s="325"/>
      <c r="I6" s="86"/>
      <c r="J6" s="83">
        <v>2</v>
      </c>
      <c r="K6" s="76" t="s">
        <v>30</v>
      </c>
      <c r="L6" s="76" t="s">
        <v>31</v>
      </c>
      <c r="M6" s="76" t="s">
        <v>91</v>
      </c>
      <c r="N6" s="76" t="s">
        <v>32</v>
      </c>
      <c r="O6" s="76">
        <v>1500</v>
      </c>
      <c r="P6" s="76">
        <v>1500</v>
      </c>
      <c r="Q6" s="307" t="s">
        <v>24</v>
      </c>
      <c r="R6" s="308"/>
      <c r="T6" s="1">
        <v>2</v>
      </c>
      <c r="U6" s="8" t="s">
        <v>26</v>
      </c>
      <c r="V6" s="9" t="s">
        <v>27</v>
      </c>
      <c r="W6" s="10">
        <v>45667</v>
      </c>
      <c r="X6" s="9">
        <v>4500</v>
      </c>
      <c r="Y6" s="9">
        <v>2500</v>
      </c>
      <c r="Z6" s="307" t="s">
        <v>24</v>
      </c>
      <c r="AA6" s="308"/>
      <c r="AC6" s="1">
        <v>2</v>
      </c>
      <c r="AD6" s="15" t="s">
        <v>28</v>
      </c>
      <c r="AE6" s="9" t="s">
        <v>21</v>
      </c>
      <c r="AF6" s="10">
        <v>45972</v>
      </c>
      <c r="AG6" s="9">
        <v>1500</v>
      </c>
      <c r="AH6" s="9"/>
      <c r="AI6" s="307" t="s">
        <v>24</v>
      </c>
      <c r="AJ6" s="307"/>
    </row>
    <row r="7" spans="1:37" ht="12.75" customHeight="1" x14ac:dyDescent="0.2">
      <c r="A7" s="78">
        <v>3</v>
      </c>
      <c r="B7" s="87" t="s">
        <v>94</v>
      </c>
      <c r="C7" s="85">
        <v>2</v>
      </c>
      <c r="D7" s="88">
        <v>46082</v>
      </c>
      <c r="E7" s="85">
        <v>2750</v>
      </c>
      <c r="F7" s="85">
        <v>2750</v>
      </c>
      <c r="G7" s="325"/>
      <c r="H7" s="325"/>
      <c r="I7" s="86"/>
      <c r="J7" s="83">
        <v>3</v>
      </c>
      <c r="K7" s="76" t="s">
        <v>40</v>
      </c>
      <c r="L7" s="76" t="s">
        <v>95</v>
      </c>
      <c r="M7" s="76" t="s">
        <v>96</v>
      </c>
      <c r="N7" s="76"/>
      <c r="O7" s="76">
        <v>2000</v>
      </c>
      <c r="P7" s="76">
        <v>2000</v>
      </c>
      <c r="Q7" s="307"/>
      <c r="R7" s="308"/>
      <c r="T7" s="1">
        <v>3</v>
      </c>
      <c r="U7" s="23" t="s">
        <v>33</v>
      </c>
      <c r="V7" s="13" t="s">
        <v>34</v>
      </c>
      <c r="W7" s="9" t="s">
        <v>35</v>
      </c>
      <c r="X7" s="9">
        <v>1000</v>
      </c>
      <c r="Y7" s="181">
        <v>1000</v>
      </c>
      <c r="Z7" s="307"/>
      <c r="AA7" s="307"/>
      <c r="AC7" s="1">
        <v>3</v>
      </c>
      <c r="AD7" s="24" t="s">
        <v>97</v>
      </c>
      <c r="AE7" s="9" t="s">
        <v>21</v>
      </c>
      <c r="AF7" s="10">
        <v>45973</v>
      </c>
      <c r="AG7" s="25">
        <v>500</v>
      </c>
      <c r="AH7" s="9"/>
      <c r="AI7" s="307"/>
      <c r="AJ7" s="307"/>
    </row>
    <row r="8" spans="1:37" ht="12.75" customHeight="1" x14ac:dyDescent="0.2">
      <c r="A8" s="78">
        <v>4</v>
      </c>
      <c r="B8" s="87" t="s">
        <v>98</v>
      </c>
      <c r="C8" s="87" t="s">
        <v>99</v>
      </c>
      <c r="D8" s="85"/>
      <c r="E8" s="85">
        <v>1200</v>
      </c>
      <c r="F8" s="85">
        <v>1200</v>
      </c>
      <c r="G8" s="89" t="s">
        <v>37</v>
      </c>
      <c r="H8" s="90">
        <f>SUM(E5:E25)</f>
        <v>24250</v>
      </c>
      <c r="I8" s="86"/>
      <c r="J8" s="83">
        <v>4</v>
      </c>
      <c r="K8" s="76" t="s">
        <v>92</v>
      </c>
      <c r="L8" s="76" t="s">
        <v>100</v>
      </c>
      <c r="M8" s="76" t="s">
        <v>96</v>
      </c>
      <c r="N8" s="76" t="s">
        <v>93</v>
      </c>
      <c r="O8" s="76">
        <v>5000</v>
      </c>
      <c r="P8" s="76">
        <v>5000</v>
      </c>
      <c r="Q8" s="29" t="s">
        <v>37</v>
      </c>
      <c r="R8" s="30">
        <f>SUM(O5:O30)</f>
        <v>46900</v>
      </c>
      <c r="T8" s="1">
        <v>4</v>
      </c>
      <c r="U8" s="13" t="s">
        <v>101</v>
      </c>
      <c r="V8" s="13" t="s">
        <v>102</v>
      </c>
      <c r="W8" s="9"/>
      <c r="X8" s="9">
        <v>1250</v>
      </c>
      <c r="Y8" s="9">
        <v>1250</v>
      </c>
      <c r="Z8" s="26" t="s">
        <v>37</v>
      </c>
      <c r="AA8" s="27">
        <f>SUM(X5:X14)</f>
        <v>9550</v>
      </c>
      <c r="AC8" s="1">
        <v>4</v>
      </c>
      <c r="AD8" s="32" t="s">
        <v>33</v>
      </c>
      <c r="AE8" s="181" t="str">
        <f>AE7</f>
        <v>MATHS</v>
      </c>
      <c r="AF8" s="17">
        <v>46023</v>
      </c>
      <c r="AG8" s="25">
        <v>2000</v>
      </c>
      <c r="AH8" s="9"/>
      <c r="AI8" s="26" t="s">
        <v>37</v>
      </c>
      <c r="AJ8" s="27">
        <f t="shared" ref="AJ8" si="0">SUM(AG5:AG17)</f>
        <v>7000</v>
      </c>
    </row>
    <row r="9" spans="1:37" ht="12.75" customHeight="1" x14ac:dyDescent="0.2">
      <c r="A9" s="78">
        <v>5</v>
      </c>
      <c r="B9" s="76" t="s">
        <v>103</v>
      </c>
      <c r="C9" s="76" t="s">
        <v>104</v>
      </c>
      <c r="D9" s="76"/>
      <c r="E9" s="85">
        <v>2500</v>
      </c>
      <c r="F9" s="85">
        <v>2500</v>
      </c>
      <c r="G9" s="89" t="s">
        <v>39</v>
      </c>
      <c r="H9" s="90">
        <f>SUM(F5:F25)</f>
        <v>18850</v>
      </c>
      <c r="I9" s="86"/>
      <c r="J9" s="83">
        <v>5</v>
      </c>
      <c r="K9" s="76" t="s">
        <v>105</v>
      </c>
      <c r="L9" s="76" t="s">
        <v>41</v>
      </c>
      <c r="M9" s="76" t="s">
        <v>96</v>
      </c>
      <c r="N9" s="91">
        <v>46023</v>
      </c>
      <c r="O9" s="76">
        <v>1000</v>
      </c>
      <c r="P9" s="76">
        <v>1000</v>
      </c>
      <c r="Q9" s="29" t="s">
        <v>39</v>
      </c>
      <c r="R9" s="30">
        <f>SUM(P5:P30)</f>
        <v>36100</v>
      </c>
      <c r="S9" s="48"/>
      <c r="T9" s="1">
        <v>5</v>
      </c>
      <c r="U9" s="13" t="s">
        <v>106</v>
      </c>
      <c r="V9" s="13" t="s">
        <v>18</v>
      </c>
      <c r="W9" s="9"/>
      <c r="X9" s="9">
        <v>1300</v>
      </c>
      <c r="Y9" s="9"/>
      <c r="Z9" s="26" t="s">
        <v>39</v>
      </c>
      <c r="AA9" s="27">
        <f>SUM(Y5:Y23)</f>
        <v>6250</v>
      </c>
      <c r="AC9" s="1">
        <v>5</v>
      </c>
      <c r="AD9" s="8" t="s">
        <v>107</v>
      </c>
      <c r="AE9" s="9" t="s">
        <v>67</v>
      </c>
      <c r="AF9" s="10" t="s">
        <v>108</v>
      </c>
      <c r="AG9" s="9">
        <v>2000</v>
      </c>
      <c r="AH9" s="9">
        <v>2000</v>
      </c>
      <c r="AI9" s="26" t="s">
        <v>39</v>
      </c>
      <c r="AJ9" s="27">
        <f t="shared" ref="AJ9" si="1">SUM(AH5:AH17)</f>
        <v>2000</v>
      </c>
    </row>
    <row r="10" spans="1:37" s="36" customFormat="1" ht="12.75" customHeight="1" x14ac:dyDescent="0.2">
      <c r="A10" s="92">
        <v>6</v>
      </c>
      <c r="B10" s="76" t="s">
        <v>109</v>
      </c>
      <c r="C10" s="76" t="s">
        <v>110</v>
      </c>
      <c r="D10" s="76"/>
      <c r="E10" s="76">
        <v>2000</v>
      </c>
      <c r="F10" s="85">
        <v>2000</v>
      </c>
      <c r="G10" s="93"/>
      <c r="H10" s="93"/>
      <c r="I10" s="93"/>
      <c r="J10" s="83">
        <v>6</v>
      </c>
      <c r="K10" s="76" t="s">
        <v>94</v>
      </c>
      <c r="L10" s="76" t="s">
        <v>111</v>
      </c>
      <c r="M10" s="76" t="s">
        <v>112</v>
      </c>
      <c r="N10" s="76"/>
      <c r="O10" s="76">
        <v>1250</v>
      </c>
      <c r="P10" s="76">
        <v>1250</v>
      </c>
      <c r="Q10" s="39"/>
      <c r="R10" s="40"/>
      <c r="S10" s="35"/>
      <c r="T10" s="14">
        <v>6</v>
      </c>
      <c r="U10" s="35"/>
      <c r="V10" s="35"/>
      <c r="W10" s="35"/>
      <c r="X10" s="35"/>
      <c r="Y10" s="181"/>
      <c r="Z10" s="41" t="s">
        <v>45</v>
      </c>
      <c r="AA10" s="42">
        <f>SUM(Y5:Y11)</f>
        <v>6250</v>
      </c>
      <c r="AC10" s="34">
        <v>6</v>
      </c>
      <c r="AD10" s="8"/>
      <c r="AE10" s="35"/>
      <c r="AF10" s="43"/>
      <c r="AG10" s="181"/>
      <c r="AH10" s="181"/>
      <c r="AI10" s="35"/>
      <c r="AJ10" s="35"/>
    </row>
    <row r="11" spans="1:37" ht="12.75" customHeight="1" x14ac:dyDescent="0.2">
      <c r="A11" s="78">
        <v>7</v>
      </c>
      <c r="B11" s="76" t="s">
        <v>113</v>
      </c>
      <c r="C11" s="76" t="s">
        <v>114</v>
      </c>
      <c r="D11" s="76"/>
      <c r="E11" s="76">
        <v>1000</v>
      </c>
      <c r="F11" s="85">
        <v>1000</v>
      </c>
      <c r="G11" s="76"/>
      <c r="H11" s="76"/>
      <c r="I11" s="76"/>
      <c r="J11" s="83">
        <v>7</v>
      </c>
      <c r="K11" s="76" t="s">
        <v>97</v>
      </c>
      <c r="L11" s="76"/>
      <c r="M11" s="76" t="s">
        <v>115</v>
      </c>
      <c r="N11" s="76"/>
      <c r="O11" s="76">
        <v>500</v>
      </c>
      <c r="P11" s="85">
        <v>500</v>
      </c>
      <c r="Q11" s="44"/>
      <c r="R11" s="45"/>
      <c r="S11" s="8"/>
      <c r="T11" s="14">
        <v>7</v>
      </c>
      <c r="U11" s="13"/>
      <c r="V11" s="13"/>
      <c r="W11" s="9"/>
      <c r="X11" s="9"/>
      <c r="Y11" s="9"/>
      <c r="Z11" s="8"/>
      <c r="AA11" s="8"/>
      <c r="AC11" s="1">
        <v>7</v>
      </c>
      <c r="AD11" s="8"/>
      <c r="AE11" s="8"/>
      <c r="AF11" s="10"/>
      <c r="AG11" s="9"/>
      <c r="AH11" s="9"/>
      <c r="AI11" s="8"/>
      <c r="AJ11" s="8"/>
    </row>
    <row r="12" spans="1:37" ht="12.75" customHeight="1" x14ac:dyDescent="0.2">
      <c r="A12" s="78">
        <v>8</v>
      </c>
      <c r="B12" s="76" t="s">
        <v>116</v>
      </c>
      <c r="C12" s="76" t="s">
        <v>110</v>
      </c>
      <c r="D12" s="76"/>
      <c r="E12" s="76">
        <v>2000</v>
      </c>
      <c r="F12" s="85">
        <v>2000</v>
      </c>
      <c r="G12" s="330" t="s">
        <v>46</v>
      </c>
      <c r="H12" s="330"/>
      <c r="I12" s="86"/>
      <c r="J12" s="83">
        <v>8</v>
      </c>
      <c r="K12" s="76" t="s">
        <v>101</v>
      </c>
      <c r="L12" s="76" t="s">
        <v>117</v>
      </c>
      <c r="M12" s="76" t="s">
        <v>91</v>
      </c>
      <c r="N12" s="76"/>
      <c r="O12" s="76">
        <v>1250</v>
      </c>
      <c r="P12" s="76">
        <v>1250</v>
      </c>
      <c r="Q12" s="310" t="s">
        <v>46</v>
      </c>
      <c r="R12" s="311"/>
      <c r="T12" s="1">
        <v>8</v>
      </c>
      <c r="U12" s="8"/>
      <c r="V12" s="8"/>
      <c r="W12" s="8"/>
      <c r="X12" s="8"/>
      <c r="Y12" s="9"/>
      <c r="Z12" s="309" t="s">
        <v>46</v>
      </c>
      <c r="AA12" s="309"/>
      <c r="AC12" s="1">
        <v>8</v>
      </c>
      <c r="AD12" s="8"/>
      <c r="AE12" s="8"/>
      <c r="AF12" s="10"/>
      <c r="AG12" s="9"/>
      <c r="AH12" s="9"/>
      <c r="AI12" s="309" t="s">
        <v>46</v>
      </c>
      <c r="AJ12" s="309"/>
    </row>
    <row r="13" spans="1:37" ht="12.75" customHeight="1" x14ac:dyDescent="0.2">
      <c r="A13" s="78">
        <v>9</v>
      </c>
      <c r="B13" s="76" t="s">
        <v>118</v>
      </c>
      <c r="C13" s="76" t="s">
        <v>119</v>
      </c>
      <c r="D13" s="76"/>
      <c r="E13" s="76">
        <v>1600</v>
      </c>
      <c r="F13" s="85"/>
      <c r="G13" s="330"/>
      <c r="H13" s="330"/>
      <c r="I13" s="86"/>
      <c r="J13" s="83">
        <v>9</v>
      </c>
      <c r="K13" s="87" t="s">
        <v>120</v>
      </c>
      <c r="L13" s="87" t="s">
        <v>121</v>
      </c>
      <c r="M13" s="87" t="s">
        <v>96</v>
      </c>
      <c r="N13" s="85"/>
      <c r="O13" s="80">
        <v>1000</v>
      </c>
      <c r="P13" s="94" t="s">
        <v>122</v>
      </c>
      <c r="Q13" s="309"/>
      <c r="R13" s="311"/>
      <c r="T13" s="1">
        <v>9</v>
      </c>
      <c r="U13" s="8"/>
      <c r="V13" s="8"/>
      <c r="W13" s="8"/>
      <c r="X13" s="8"/>
      <c r="Y13" s="9"/>
      <c r="Z13" s="309"/>
      <c r="AA13" s="309"/>
      <c r="AC13" s="1">
        <v>9</v>
      </c>
      <c r="AD13" s="8"/>
      <c r="AE13" s="13"/>
      <c r="AF13" s="9"/>
      <c r="AG13" s="9"/>
      <c r="AH13" s="9"/>
      <c r="AI13" s="309"/>
      <c r="AJ13" s="309"/>
    </row>
    <row r="14" spans="1:37" ht="12.75" customHeight="1" x14ac:dyDescent="0.2">
      <c r="A14" s="78">
        <v>1</v>
      </c>
      <c r="B14" s="76" t="s">
        <v>123</v>
      </c>
      <c r="C14" s="76" t="s">
        <v>124</v>
      </c>
      <c r="D14" s="76"/>
      <c r="E14" s="76">
        <v>1500</v>
      </c>
      <c r="F14" s="85"/>
      <c r="G14" s="326">
        <f>H9*70/100</f>
        <v>13195</v>
      </c>
      <c r="H14" s="327"/>
      <c r="I14" s="86"/>
      <c r="J14" s="83">
        <v>10</v>
      </c>
      <c r="K14" s="76" t="s">
        <v>113</v>
      </c>
      <c r="L14" s="95" t="s">
        <v>125</v>
      </c>
      <c r="M14" s="95" t="s">
        <v>112</v>
      </c>
      <c r="N14" s="76"/>
      <c r="O14" s="85">
        <v>1800</v>
      </c>
      <c r="P14" s="85">
        <v>1800</v>
      </c>
      <c r="Q14" s="316">
        <f>R9*70/100</f>
        <v>25270</v>
      </c>
      <c r="R14" s="317"/>
      <c r="T14" s="1">
        <v>10</v>
      </c>
      <c r="U14" s="8"/>
      <c r="V14" s="8"/>
      <c r="W14" s="8"/>
      <c r="X14" s="8"/>
      <c r="Y14" s="9"/>
      <c r="Z14" s="316">
        <f>AA9*70/100</f>
        <v>4375</v>
      </c>
      <c r="AA14" s="316"/>
      <c r="AC14" s="1"/>
      <c r="AD14" s="8"/>
      <c r="AE14" s="8"/>
      <c r="AF14" s="9"/>
      <c r="AG14" s="9"/>
      <c r="AH14" s="9"/>
      <c r="AI14" s="312">
        <f t="shared" ref="AI14" si="2">AJ9*70/100</f>
        <v>1400</v>
      </c>
      <c r="AJ14" s="313"/>
    </row>
    <row r="15" spans="1:37" ht="12.75" customHeight="1" x14ac:dyDescent="0.2">
      <c r="A15" s="78">
        <v>11</v>
      </c>
      <c r="B15" s="76" t="s">
        <v>126</v>
      </c>
      <c r="C15" s="76" t="s">
        <v>127</v>
      </c>
      <c r="D15" s="76"/>
      <c r="E15" s="76">
        <v>1000</v>
      </c>
      <c r="F15" s="85"/>
      <c r="G15" s="328"/>
      <c r="H15" s="329"/>
      <c r="I15" s="86"/>
      <c r="J15" s="83">
        <v>11</v>
      </c>
      <c r="K15" s="76" t="s">
        <v>109</v>
      </c>
      <c r="L15" s="76" t="s">
        <v>117</v>
      </c>
      <c r="M15" s="76"/>
      <c r="N15" s="76"/>
      <c r="O15" s="76">
        <v>1000</v>
      </c>
      <c r="P15" s="86">
        <v>1000</v>
      </c>
      <c r="Q15" s="316"/>
      <c r="R15" s="317"/>
      <c r="T15" s="1">
        <v>11</v>
      </c>
      <c r="U15" s="8"/>
      <c r="V15" s="8"/>
      <c r="W15" s="8"/>
      <c r="X15" s="8"/>
      <c r="Y15" s="9"/>
      <c r="Z15" s="316"/>
      <c r="AA15" s="316"/>
      <c r="AC15" s="1"/>
      <c r="AD15" s="1"/>
      <c r="AE15" s="8"/>
      <c r="AF15" s="9"/>
      <c r="AG15" s="8"/>
      <c r="AH15" s="9"/>
      <c r="AI15" s="314"/>
      <c r="AJ15" s="315"/>
    </row>
    <row r="16" spans="1:37" ht="12.75" customHeight="1" x14ac:dyDescent="0.2">
      <c r="A16" s="78">
        <v>12</v>
      </c>
      <c r="B16" s="76" t="s">
        <v>106</v>
      </c>
      <c r="C16" s="76" t="s">
        <v>99</v>
      </c>
      <c r="D16" s="76"/>
      <c r="E16" s="76">
        <v>1300</v>
      </c>
      <c r="F16" s="85">
        <v>1300</v>
      </c>
      <c r="G16" s="76"/>
      <c r="H16" s="76"/>
      <c r="I16" s="76"/>
      <c r="J16" s="96">
        <v>12</v>
      </c>
      <c r="K16" s="76" t="s">
        <v>113</v>
      </c>
      <c r="L16" s="76" t="s">
        <v>117</v>
      </c>
      <c r="M16" s="76"/>
      <c r="N16" s="76"/>
      <c r="O16" s="76">
        <v>1000</v>
      </c>
      <c r="P16" s="97">
        <v>1000</v>
      </c>
      <c r="Q16" s="8"/>
      <c r="R16" s="98"/>
      <c r="S16" s="8"/>
      <c r="T16" s="14">
        <v>12</v>
      </c>
      <c r="U16" s="8"/>
      <c r="V16" s="8"/>
      <c r="W16" s="8"/>
      <c r="X16" s="8"/>
      <c r="Y16" s="9"/>
      <c r="Z16" s="8"/>
      <c r="AA16" s="8"/>
      <c r="AC16" s="1"/>
      <c r="AD16" s="13"/>
      <c r="AE16" s="13"/>
      <c r="AF16" s="9"/>
      <c r="AG16" s="9"/>
      <c r="AH16" s="9"/>
      <c r="AI16" s="8"/>
      <c r="AJ16" s="8"/>
    </row>
    <row r="17" spans="1:36" ht="12.75" customHeight="1" x14ac:dyDescent="0.2">
      <c r="A17" s="78">
        <v>13</v>
      </c>
      <c r="B17" s="76" t="s">
        <v>128</v>
      </c>
      <c r="C17" s="76" t="s">
        <v>127</v>
      </c>
      <c r="D17" s="76"/>
      <c r="E17" s="76">
        <v>700</v>
      </c>
      <c r="F17" s="76">
        <v>400</v>
      </c>
      <c r="G17" s="76"/>
      <c r="H17" s="76"/>
      <c r="I17" s="76"/>
      <c r="J17" s="83">
        <v>13</v>
      </c>
      <c r="K17" s="76" t="s">
        <v>116</v>
      </c>
      <c r="L17" s="76" t="s">
        <v>117</v>
      </c>
      <c r="M17" s="95"/>
      <c r="N17" s="76"/>
      <c r="O17" s="85">
        <v>1000</v>
      </c>
      <c r="P17" s="184">
        <v>1000</v>
      </c>
      <c r="Q17" s="45"/>
      <c r="R17" s="8"/>
      <c r="S17" s="8"/>
      <c r="T17" s="14">
        <v>13</v>
      </c>
      <c r="U17" s="8"/>
      <c r="V17" s="8"/>
      <c r="W17" s="8"/>
      <c r="X17" s="8"/>
      <c r="Y17" s="9"/>
      <c r="Z17" s="8"/>
      <c r="AA17" s="8"/>
      <c r="AC17" s="1"/>
      <c r="AD17" s="13"/>
      <c r="AE17" s="13"/>
      <c r="AF17" s="9"/>
      <c r="AG17" s="9"/>
      <c r="AH17" s="9"/>
      <c r="AI17" s="8"/>
      <c r="AJ17" s="8"/>
    </row>
    <row r="18" spans="1:36" ht="12.75" customHeight="1" x14ac:dyDescent="0.2">
      <c r="A18" s="78">
        <v>14</v>
      </c>
      <c r="B18" s="76" t="s">
        <v>113</v>
      </c>
      <c r="C18" s="76" t="s">
        <v>127</v>
      </c>
      <c r="D18" s="85"/>
      <c r="E18" s="85">
        <v>700</v>
      </c>
      <c r="F18" s="85">
        <v>700</v>
      </c>
      <c r="G18" s="330" t="s">
        <v>47</v>
      </c>
      <c r="H18" s="330"/>
      <c r="I18" s="86"/>
      <c r="J18" s="83">
        <v>14</v>
      </c>
      <c r="K18" s="76" t="s">
        <v>126</v>
      </c>
      <c r="L18" s="99" t="s">
        <v>129</v>
      </c>
      <c r="M18" s="99"/>
      <c r="N18" s="76"/>
      <c r="O18" s="76">
        <v>2100</v>
      </c>
      <c r="P18" s="100">
        <v>2100</v>
      </c>
      <c r="Q18" s="309" t="s">
        <v>47</v>
      </c>
      <c r="R18" s="320"/>
      <c r="T18" s="1">
        <v>14</v>
      </c>
      <c r="U18" s="8"/>
      <c r="V18" s="8"/>
      <c r="W18" s="8"/>
      <c r="X18" s="8"/>
      <c r="Y18" s="9"/>
      <c r="Z18" s="309" t="s">
        <v>47</v>
      </c>
      <c r="AA18" s="309"/>
      <c r="AC18" s="1"/>
      <c r="AD18" s="8"/>
      <c r="AE18" s="8"/>
      <c r="AF18" s="8"/>
      <c r="AG18" s="8"/>
      <c r="AH18" s="9"/>
      <c r="AI18" s="309" t="s">
        <v>47</v>
      </c>
      <c r="AJ18" s="309"/>
    </row>
    <row r="19" spans="1:36" ht="12.75" customHeight="1" x14ac:dyDescent="0.2">
      <c r="A19" s="78">
        <v>15</v>
      </c>
      <c r="B19" s="87"/>
      <c r="C19" s="87"/>
      <c r="D19" s="85"/>
      <c r="E19" s="85"/>
      <c r="F19" s="85"/>
      <c r="G19" s="330"/>
      <c r="H19" s="330"/>
      <c r="I19" s="86"/>
      <c r="J19" s="83">
        <v>15</v>
      </c>
      <c r="K19" s="76" t="s">
        <v>130</v>
      </c>
      <c r="L19" s="99" t="s">
        <v>131</v>
      </c>
      <c r="M19" s="99"/>
      <c r="N19" s="76"/>
      <c r="O19" s="76">
        <v>3000</v>
      </c>
      <c r="P19" s="101"/>
      <c r="Q19" s="309"/>
      <c r="R19" s="311"/>
      <c r="T19" s="1">
        <v>15</v>
      </c>
      <c r="U19" s="8"/>
      <c r="V19" s="8"/>
      <c r="W19" s="8"/>
      <c r="X19" s="8"/>
      <c r="Y19" s="9"/>
      <c r="Z19" s="309"/>
      <c r="AA19" s="309"/>
      <c r="AC19" s="1"/>
      <c r="AD19" s="8"/>
      <c r="AE19" s="8"/>
      <c r="AF19" s="8"/>
      <c r="AG19" s="8"/>
      <c r="AH19" s="9"/>
      <c r="AI19" s="309"/>
      <c r="AJ19" s="309"/>
    </row>
    <row r="20" spans="1:36" ht="12.75" customHeight="1" x14ac:dyDescent="0.2">
      <c r="A20" s="78">
        <v>16</v>
      </c>
      <c r="B20" s="76"/>
      <c r="C20" s="76"/>
      <c r="D20" s="76"/>
      <c r="E20" s="76"/>
      <c r="F20" s="85"/>
      <c r="G20" s="324">
        <f>H9*30/100</f>
        <v>5655</v>
      </c>
      <c r="H20" s="324"/>
      <c r="I20" s="86"/>
      <c r="J20" s="83">
        <v>16</v>
      </c>
      <c r="K20" s="76" t="s">
        <v>132</v>
      </c>
      <c r="L20" s="76" t="s">
        <v>133</v>
      </c>
      <c r="M20" s="76"/>
      <c r="N20" s="76"/>
      <c r="O20" s="76">
        <v>3000</v>
      </c>
      <c r="P20" s="76">
        <v>3000</v>
      </c>
      <c r="Q20" s="316">
        <f>R9*30/100</f>
        <v>10830</v>
      </c>
      <c r="R20" s="316"/>
      <c r="T20" s="1">
        <v>16</v>
      </c>
      <c r="U20" s="8"/>
      <c r="V20" s="8"/>
      <c r="W20" s="8"/>
      <c r="X20" s="8"/>
      <c r="Y20" s="9"/>
      <c r="Z20" s="316">
        <f>AA9*30/100</f>
        <v>1875</v>
      </c>
      <c r="AA20" s="316"/>
      <c r="AC20" s="1"/>
      <c r="AD20" s="8"/>
      <c r="AE20" s="8"/>
      <c r="AF20" s="8"/>
      <c r="AG20" s="8"/>
      <c r="AH20" s="9"/>
      <c r="AI20" s="316">
        <f t="shared" ref="AI20" si="3">AJ9*30/100</f>
        <v>600</v>
      </c>
      <c r="AJ20" s="316"/>
    </row>
    <row r="21" spans="1:36" ht="12.75" customHeight="1" x14ac:dyDescent="0.2">
      <c r="A21" s="78"/>
      <c r="B21" s="87"/>
      <c r="C21" s="87"/>
      <c r="D21" s="85"/>
      <c r="E21" s="80"/>
      <c r="F21" s="85"/>
      <c r="G21" s="324"/>
      <c r="H21" s="324"/>
      <c r="I21" s="86"/>
      <c r="J21" s="83">
        <v>17</v>
      </c>
      <c r="K21" s="76" t="s">
        <v>106</v>
      </c>
      <c r="L21" s="76" t="s">
        <v>117</v>
      </c>
      <c r="M21" s="76" t="s">
        <v>115</v>
      </c>
      <c r="N21" s="76"/>
      <c r="O21" s="76">
        <v>1300</v>
      </c>
      <c r="P21" s="101"/>
      <c r="Q21" s="316"/>
      <c r="R21" s="316"/>
      <c r="T21" s="1">
        <v>17</v>
      </c>
      <c r="U21" s="8"/>
      <c r="V21" s="8"/>
      <c r="W21" s="8"/>
      <c r="X21" s="8"/>
      <c r="Y21" s="9"/>
      <c r="Z21" s="316"/>
      <c r="AA21" s="316"/>
      <c r="AC21" s="1"/>
      <c r="AD21" s="8"/>
      <c r="AE21" s="8"/>
      <c r="AF21" s="8"/>
      <c r="AG21" s="8"/>
      <c r="AH21" s="9"/>
      <c r="AI21" s="316"/>
      <c r="AJ21" s="316"/>
    </row>
    <row r="22" spans="1:36" ht="12.75" customHeight="1" x14ac:dyDescent="0.2">
      <c r="A22" s="78"/>
      <c r="B22" s="87"/>
      <c r="C22" s="87"/>
      <c r="D22" s="85"/>
      <c r="E22" s="85"/>
      <c r="F22" s="85"/>
      <c r="G22" s="76"/>
      <c r="H22" s="76"/>
      <c r="I22" s="102"/>
      <c r="J22" s="83">
        <v>18</v>
      </c>
      <c r="K22" s="76" t="s">
        <v>118</v>
      </c>
      <c r="L22" s="76" t="s">
        <v>134</v>
      </c>
      <c r="M22" s="76"/>
      <c r="N22" s="76"/>
      <c r="O22" s="76">
        <v>3000</v>
      </c>
      <c r="P22" s="101"/>
      <c r="Q22" s="8"/>
      <c r="R22" s="8"/>
      <c r="S22" s="44">
        <v>4000</v>
      </c>
      <c r="T22" s="14">
        <v>18</v>
      </c>
      <c r="U22" s="8"/>
      <c r="V22" s="8"/>
      <c r="W22" s="8"/>
      <c r="X22" s="8"/>
      <c r="Y22" s="9"/>
      <c r="Z22" s="8"/>
      <c r="AA22" s="8"/>
      <c r="AC22" s="1"/>
      <c r="AD22" s="8"/>
      <c r="AE22" s="8"/>
      <c r="AF22" s="8"/>
      <c r="AG22" s="8"/>
      <c r="AH22" s="9"/>
      <c r="AI22" s="8"/>
      <c r="AJ22" s="8"/>
    </row>
    <row r="23" spans="1:36" ht="12.75" customHeight="1" x14ac:dyDescent="0.2">
      <c r="A23" s="78"/>
      <c r="B23" s="8"/>
      <c r="C23" s="8"/>
      <c r="D23" s="9"/>
      <c r="E23" s="9"/>
      <c r="F23" s="9"/>
      <c r="G23" s="76"/>
      <c r="H23" s="76"/>
      <c r="I23" s="102"/>
      <c r="J23" s="83">
        <v>19</v>
      </c>
      <c r="K23" s="76" t="s">
        <v>135</v>
      </c>
      <c r="L23" s="76" t="s">
        <v>136</v>
      </c>
      <c r="M23" s="76"/>
      <c r="N23" s="76"/>
      <c r="O23" s="76">
        <v>1500</v>
      </c>
      <c r="P23" s="76">
        <v>1500</v>
      </c>
      <c r="Q23" s="8"/>
      <c r="R23" s="8"/>
      <c r="S23" s="44">
        <v>10500</v>
      </c>
      <c r="T23" s="14">
        <v>19</v>
      </c>
      <c r="U23" s="13"/>
      <c r="V23" s="13"/>
      <c r="W23" s="9"/>
      <c r="X23" s="181"/>
      <c r="Y23" s="9"/>
      <c r="Z23" s="8"/>
      <c r="AA23" s="8"/>
      <c r="AC23" s="1"/>
      <c r="AD23" s="8"/>
      <c r="AE23" s="8"/>
      <c r="AF23" s="8"/>
      <c r="AG23" s="8"/>
      <c r="AH23" s="9"/>
      <c r="AI23" s="8"/>
      <c r="AJ23" s="8"/>
    </row>
    <row r="24" spans="1:36" ht="12.75" customHeight="1" x14ac:dyDescent="0.2">
      <c r="A24" s="85"/>
      <c r="B24" s="8"/>
      <c r="C24" s="8"/>
      <c r="D24" s="9"/>
      <c r="E24" s="9"/>
      <c r="F24" s="9"/>
      <c r="G24" s="325" t="s">
        <v>24</v>
      </c>
      <c r="H24" s="325"/>
      <c r="I24" s="86"/>
      <c r="J24" s="83">
        <v>20</v>
      </c>
      <c r="K24" s="8" t="s">
        <v>137</v>
      </c>
      <c r="L24" s="8" t="s">
        <v>138</v>
      </c>
      <c r="M24" s="8"/>
      <c r="N24" s="8"/>
      <c r="O24" s="8">
        <v>2100</v>
      </c>
      <c r="P24" s="8">
        <v>2100</v>
      </c>
      <c r="Q24" s="307" t="s">
        <v>24</v>
      </c>
      <c r="R24" s="307"/>
      <c r="S24" s="3">
        <v>6500</v>
      </c>
      <c r="T24" s="1">
        <v>20</v>
      </c>
      <c r="U24" s="13"/>
      <c r="V24" s="13"/>
      <c r="W24" s="9"/>
      <c r="X24" s="9"/>
      <c r="Y24" s="9"/>
      <c r="Z24" s="307" t="s">
        <v>24</v>
      </c>
      <c r="AA24" s="307"/>
      <c r="AC24" s="9"/>
      <c r="AD24" s="8"/>
      <c r="AE24" s="8"/>
      <c r="AF24" s="8"/>
      <c r="AG24" s="8"/>
      <c r="AH24" s="9"/>
      <c r="AI24" s="307" t="s">
        <v>24</v>
      </c>
      <c r="AJ24" s="307"/>
    </row>
    <row r="25" spans="1:36" ht="12.75" customHeight="1" x14ac:dyDescent="0.2">
      <c r="A25" s="85"/>
      <c r="B25" s="8"/>
      <c r="C25" s="8"/>
      <c r="D25" s="9"/>
      <c r="E25" s="9"/>
      <c r="F25" s="9"/>
      <c r="G25" s="325"/>
      <c r="H25" s="325"/>
      <c r="I25" s="86"/>
      <c r="J25" s="83">
        <v>21</v>
      </c>
      <c r="K25" s="8" t="s">
        <v>8</v>
      </c>
      <c r="L25" s="8" t="s">
        <v>136</v>
      </c>
      <c r="M25" s="8"/>
      <c r="N25" s="8" t="s">
        <v>139</v>
      </c>
      <c r="O25" s="8">
        <v>1500</v>
      </c>
      <c r="P25" s="8">
        <v>1500</v>
      </c>
      <c r="Q25" s="307"/>
      <c r="R25" s="307"/>
      <c r="S25" s="3">
        <v>4000</v>
      </c>
      <c r="T25" s="1">
        <v>21</v>
      </c>
      <c r="U25" s="8"/>
      <c r="V25" s="8"/>
      <c r="W25" s="9"/>
      <c r="X25" s="9"/>
      <c r="Y25" s="9"/>
      <c r="Z25" s="307"/>
      <c r="AA25" s="307"/>
      <c r="AC25" s="9"/>
      <c r="AD25" s="8"/>
      <c r="AE25" s="8"/>
      <c r="AF25" s="8"/>
      <c r="AG25" s="8"/>
      <c r="AH25" s="9"/>
      <c r="AI25" s="307"/>
      <c r="AJ25" s="307"/>
    </row>
    <row r="26" spans="1:36" ht="12.75" customHeight="1" x14ac:dyDescent="0.2">
      <c r="A26" s="9"/>
      <c r="G26" s="316">
        <f>G14+G20</f>
        <v>18850</v>
      </c>
      <c r="H26" s="316"/>
      <c r="I26" s="3">
        <v>5000</v>
      </c>
      <c r="J26" s="103">
        <v>22</v>
      </c>
      <c r="K26" s="15" t="s">
        <v>140</v>
      </c>
      <c r="L26" s="50" t="s">
        <v>141</v>
      </c>
      <c r="M26" s="50" t="s">
        <v>112</v>
      </c>
      <c r="N26" s="50"/>
      <c r="O26" s="50">
        <v>4500</v>
      </c>
      <c r="P26" s="50">
        <v>2000</v>
      </c>
      <c r="Q26" s="316">
        <f>Q14+Q20</f>
        <v>36100</v>
      </c>
      <c r="R26" s="316"/>
      <c r="S26" s="3">
        <f>SUM(S18:S25)</f>
        <v>25000</v>
      </c>
      <c r="T26" s="1">
        <v>22</v>
      </c>
      <c r="U26" s="8"/>
      <c r="V26" s="8"/>
      <c r="W26" s="9"/>
      <c r="X26" s="9"/>
      <c r="Y26" s="9"/>
      <c r="Z26" s="316">
        <f>Z14+Z20</f>
        <v>6250</v>
      </c>
      <c r="AA26" s="316"/>
      <c r="AC26" s="9"/>
      <c r="AD26" s="8"/>
      <c r="AE26" s="8"/>
      <c r="AF26" s="8"/>
      <c r="AG26" s="8"/>
      <c r="AH26" s="9"/>
      <c r="AI26" s="316">
        <f t="shared" ref="AI26" si="4">AI14+AI20</f>
        <v>2000</v>
      </c>
      <c r="AJ26" s="316"/>
    </row>
    <row r="27" spans="1:36" ht="12.75" customHeight="1" x14ac:dyDescent="0.2">
      <c r="A27" s="8"/>
      <c r="G27" s="316"/>
      <c r="H27" s="316"/>
      <c r="I27" s="3">
        <v>6500</v>
      </c>
      <c r="J27" s="103">
        <v>23</v>
      </c>
      <c r="K27" s="8" t="s">
        <v>84</v>
      </c>
      <c r="L27" s="8" t="s">
        <v>142</v>
      </c>
      <c r="M27" s="8"/>
      <c r="N27" s="8"/>
      <c r="O27" s="8">
        <v>2100</v>
      </c>
      <c r="P27" s="8">
        <v>2100</v>
      </c>
      <c r="Q27" s="316"/>
      <c r="R27" s="316"/>
      <c r="T27" s="1">
        <v>23</v>
      </c>
      <c r="U27" s="8"/>
      <c r="V27" s="8"/>
      <c r="W27" s="9"/>
      <c r="X27" s="9"/>
      <c r="Y27" s="8"/>
      <c r="Z27" s="316"/>
      <c r="AA27" s="316"/>
      <c r="AC27" s="8"/>
      <c r="AD27" s="8"/>
      <c r="AE27" s="8"/>
      <c r="AF27" s="8"/>
      <c r="AG27" s="8"/>
      <c r="AH27" s="9"/>
      <c r="AI27" s="316"/>
      <c r="AJ27" s="316"/>
    </row>
    <row r="28" spans="1:36" ht="12.75" customHeight="1" x14ac:dyDescent="0.2">
      <c r="A28" s="8"/>
      <c r="G28" s="8"/>
      <c r="H28" s="8"/>
      <c r="I28" s="45">
        <v>1000</v>
      </c>
      <c r="J28" s="103">
        <v>24</v>
      </c>
      <c r="K28" s="8" t="s">
        <v>143</v>
      </c>
      <c r="L28" s="8" t="s">
        <v>125</v>
      </c>
      <c r="M28" s="8"/>
      <c r="N28" s="8"/>
      <c r="O28" s="8">
        <v>1500</v>
      </c>
      <c r="P28" s="8">
        <v>1500</v>
      </c>
      <c r="Q28" s="8"/>
      <c r="R28" s="8"/>
      <c r="S28" s="44"/>
      <c r="T28" s="14">
        <v>24</v>
      </c>
      <c r="U28" s="8"/>
      <c r="V28" s="8"/>
      <c r="W28" s="8"/>
      <c r="X28" s="8"/>
      <c r="Y28" s="8"/>
      <c r="Z28" s="8"/>
      <c r="AA28" s="8"/>
      <c r="AC28" s="8"/>
      <c r="AD28" s="8"/>
      <c r="AE28" s="8"/>
      <c r="AF28" s="8"/>
      <c r="AG28" s="8"/>
      <c r="AH28" s="9"/>
      <c r="AI28" s="8"/>
      <c r="AJ28" s="8"/>
    </row>
    <row r="29" spans="1:36" ht="12.75" customHeight="1" x14ac:dyDescent="0.2">
      <c r="A29" s="8"/>
      <c r="G29" s="318" t="s">
        <v>48</v>
      </c>
      <c r="H29" s="319"/>
      <c r="I29" s="3">
        <f>SUM(I23:I28)</f>
        <v>12500</v>
      </c>
      <c r="J29" s="103">
        <v>25</v>
      </c>
      <c r="K29" s="8"/>
      <c r="L29" s="8"/>
      <c r="M29" s="8"/>
      <c r="N29" s="8"/>
      <c r="O29" s="8"/>
      <c r="P29" s="8"/>
      <c r="Q29" s="309" t="s">
        <v>48</v>
      </c>
      <c r="R29" s="309"/>
      <c r="T29" s="8"/>
      <c r="U29" s="8"/>
      <c r="V29" s="8"/>
      <c r="W29" s="8"/>
      <c r="X29" s="8"/>
      <c r="Y29" s="8"/>
      <c r="Z29" s="318" t="s">
        <v>48</v>
      </c>
      <c r="AA29" s="319"/>
      <c r="AC29" s="8"/>
      <c r="AD29" s="8"/>
      <c r="AE29" s="8"/>
      <c r="AF29" s="9"/>
      <c r="AG29" s="9"/>
      <c r="AH29" s="9"/>
      <c r="AI29" s="318" t="s">
        <v>48</v>
      </c>
      <c r="AJ29" s="319"/>
    </row>
    <row r="30" spans="1:36" ht="12.75" customHeight="1" x14ac:dyDescent="0.2">
      <c r="A30" s="8"/>
      <c r="G30" s="320"/>
      <c r="H30" s="321"/>
      <c r="J30" s="103">
        <v>26</v>
      </c>
      <c r="K30" s="8"/>
      <c r="L30" s="8"/>
      <c r="M30" s="8"/>
      <c r="N30" s="8"/>
      <c r="O30" s="8"/>
      <c r="P30" s="8"/>
      <c r="Q30" s="309"/>
      <c r="R30" s="309"/>
      <c r="T30" s="8"/>
      <c r="U30" s="8"/>
      <c r="V30" s="8"/>
      <c r="W30" s="8"/>
      <c r="X30" s="8"/>
      <c r="Y30" s="8"/>
      <c r="Z30" s="320"/>
      <c r="AA30" s="321"/>
      <c r="AC30" s="8"/>
      <c r="AD30" s="13"/>
      <c r="AE30" s="13"/>
      <c r="AF30" s="9"/>
      <c r="AG30" s="9"/>
      <c r="AH30" s="9"/>
      <c r="AI30" s="320"/>
      <c r="AJ30" s="321"/>
    </row>
    <row r="31" spans="1:36" ht="12.75" customHeight="1" x14ac:dyDescent="0.2">
      <c r="A31" s="8"/>
      <c r="G31" s="316">
        <f>I29</f>
        <v>12500</v>
      </c>
      <c r="H31" s="316"/>
      <c r="J31" s="103">
        <v>27</v>
      </c>
      <c r="K31" s="8"/>
      <c r="L31" s="8"/>
      <c r="M31" s="8"/>
      <c r="N31" s="8"/>
      <c r="O31" s="8"/>
      <c r="P31" s="8"/>
      <c r="Q31" s="316">
        <f>S26</f>
        <v>25000</v>
      </c>
      <c r="R31" s="316"/>
      <c r="T31" s="8"/>
      <c r="U31" s="8"/>
      <c r="V31" s="8"/>
      <c r="W31" s="8"/>
      <c r="X31" s="8"/>
      <c r="Y31" s="8"/>
      <c r="Z31" s="316">
        <v>2500</v>
      </c>
      <c r="AA31" s="316"/>
      <c r="AC31" s="8"/>
      <c r="AD31" s="8"/>
      <c r="AE31" s="8"/>
      <c r="AF31" s="8"/>
      <c r="AG31" s="8"/>
      <c r="AH31" s="9"/>
      <c r="AI31" s="316">
        <v>0</v>
      </c>
      <c r="AJ31" s="316"/>
    </row>
    <row r="32" spans="1:36" ht="12.75" customHeight="1" x14ac:dyDescent="0.2">
      <c r="A32" s="8"/>
      <c r="G32" s="316"/>
      <c r="H32" s="316"/>
      <c r="J32" s="103">
        <v>28</v>
      </c>
      <c r="K32" s="8"/>
      <c r="L32" s="8"/>
      <c r="M32" s="8"/>
      <c r="N32" s="8"/>
      <c r="O32" s="8"/>
      <c r="P32" s="8"/>
      <c r="Q32" s="316"/>
      <c r="R32" s="316"/>
      <c r="T32" s="8"/>
      <c r="U32" s="8"/>
      <c r="V32" s="8"/>
      <c r="W32" s="8"/>
      <c r="X32" s="8"/>
      <c r="Y32" s="8"/>
      <c r="Z32" s="316"/>
      <c r="AA32" s="316"/>
      <c r="AC32" s="8"/>
      <c r="AD32" s="13"/>
      <c r="AE32" s="13"/>
      <c r="AF32" s="9"/>
      <c r="AG32" s="181"/>
      <c r="AH32" s="9"/>
      <c r="AI32" s="316"/>
      <c r="AJ32" s="316"/>
    </row>
    <row r="33" spans="1:42" ht="12.75" customHeight="1" x14ac:dyDescent="0.2">
      <c r="A33" s="8"/>
      <c r="G33" s="8"/>
      <c r="H33" s="8"/>
      <c r="I33" s="45"/>
      <c r="J33" s="103">
        <v>29</v>
      </c>
      <c r="K33" s="8"/>
      <c r="L33" s="8"/>
      <c r="M33" s="8"/>
      <c r="N33" s="8"/>
      <c r="O33" s="8"/>
      <c r="P33" s="8"/>
      <c r="Q33" s="8"/>
      <c r="R33" s="8"/>
      <c r="S33" s="44"/>
      <c r="Z33" s="46"/>
      <c r="AA33" s="46"/>
      <c r="AC33" s="8"/>
      <c r="AD33" s="13"/>
      <c r="AE33" s="13"/>
      <c r="AF33" s="9"/>
      <c r="AG33" s="9"/>
      <c r="AH33" s="9"/>
      <c r="AI33" s="8"/>
      <c r="AJ33" s="8"/>
    </row>
    <row r="34" spans="1:42" ht="12.75" customHeight="1" x14ac:dyDescent="0.2">
      <c r="A34" s="8"/>
      <c r="G34" s="309" t="s">
        <v>49</v>
      </c>
      <c r="H34" s="309"/>
      <c r="J34" s="103">
        <v>30</v>
      </c>
      <c r="K34" s="8"/>
      <c r="L34" s="8"/>
      <c r="M34" s="8"/>
      <c r="N34" s="8"/>
      <c r="O34" s="8"/>
      <c r="P34" s="8"/>
      <c r="Q34" s="309" t="s">
        <v>49</v>
      </c>
      <c r="R34" s="309"/>
      <c r="Z34" s="309" t="s">
        <v>49</v>
      </c>
      <c r="AA34" s="309"/>
      <c r="AC34" s="8"/>
      <c r="AD34" s="8"/>
      <c r="AE34" s="8"/>
      <c r="AF34" s="9"/>
      <c r="AG34" s="9"/>
      <c r="AH34" s="9"/>
      <c r="AI34" s="309" t="s">
        <v>49</v>
      </c>
      <c r="AJ34" s="309"/>
    </row>
    <row r="35" spans="1:42" ht="12.75" customHeight="1" x14ac:dyDescent="0.2">
      <c r="A35" s="8"/>
      <c r="G35" s="309"/>
      <c r="H35" s="309"/>
      <c r="J35" s="8"/>
      <c r="K35" s="8"/>
      <c r="L35" s="8"/>
      <c r="M35" s="8"/>
      <c r="N35" s="8"/>
      <c r="O35" s="8"/>
      <c r="P35" s="8"/>
      <c r="Q35" s="309"/>
      <c r="R35" s="309"/>
      <c r="Z35" s="309"/>
      <c r="AA35" s="309"/>
      <c r="AC35" s="8"/>
      <c r="AD35" s="8"/>
      <c r="AE35" s="8"/>
      <c r="AF35" s="9"/>
      <c r="AG35" s="9"/>
      <c r="AH35" s="9"/>
      <c r="AI35" s="309"/>
      <c r="AJ35" s="309"/>
    </row>
    <row r="36" spans="1:42" ht="12.75" customHeight="1" x14ac:dyDescent="0.2">
      <c r="A36" s="8"/>
      <c r="B36" s="182"/>
      <c r="C36" s="182"/>
      <c r="D36" s="182"/>
      <c r="E36" s="182"/>
      <c r="F36" s="182"/>
      <c r="G36" s="317">
        <f>G14-G31</f>
        <v>695</v>
      </c>
      <c r="H36" s="323"/>
      <c r="J36" s="8"/>
      <c r="K36" s="8"/>
      <c r="L36" s="8"/>
      <c r="M36" s="8"/>
      <c r="N36" s="8"/>
      <c r="O36" s="8"/>
      <c r="P36" s="8"/>
      <c r="Q36" s="316">
        <f>Q14-Q31</f>
        <v>270</v>
      </c>
      <c r="R36" s="316"/>
      <c r="S36" s="3">
        <v>1000</v>
      </c>
      <c r="Z36" s="312">
        <f>Z14-Z31</f>
        <v>1875</v>
      </c>
      <c r="AA36" s="313"/>
      <c r="AC36" s="8"/>
      <c r="AD36" s="8"/>
      <c r="AE36" s="8"/>
      <c r="AF36" s="9"/>
      <c r="AG36" s="9"/>
      <c r="AH36" s="9"/>
      <c r="AI36" s="180">
        <f>AI14-AI31</f>
        <v>1400</v>
      </c>
      <c r="AJ36" s="180"/>
    </row>
    <row r="37" spans="1:42" ht="12.75" customHeight="1" x14ac:dyDescent="0.2">
      <c r="A37" s="8"/>
      <c r="B37" s="182"/>
      <c r="C37" s="182"/>
      <c r="D37" s="182"/>
      <c r="E37" s="182"/>
      <c r="F37" s="182"/>
      <c r="J37" s="8"/>
      <c r="K37" s="8"/>
      <c r="L37" s="8"/>
      <c r="M37" s="8"/>
      <c r="N37" s="8"/>
      <c r="O37" s="8"/>
      <c r="P37" s="8"/>
      <c r="Q37" s="8"/>
      <c r="R37" s="8"/>
      <c r="Z37" s="314"/>
      <c r="AA37" s="315"/>
    </row>
    <row r="38" spans="1:42" ht="12.75" customHeight="1" x14ac:dyDescent="0.2">
      <c r="A38" s="8"/>
    </row>
    <row r="39" spans="1:42" x14ac:dyDescent="0.2">
      <c r="B39" s="182"/>
      <c r="C39" s="182"/>
      <c r="D39" s="182"/>
      <c r="E39" s="182"/>
      <c r="F39" s="182"/>
      <c r="J39" s="64"/>
      <c r="K39" s="291" t="s">
        <v>50</v>
      </c>
      <c r="L39" s="292"/>
      <c r="M39" s="68"/>
    </row>
    <row r="40" spans="1:42" ht="12.75" customHeight="1" x14ac:dyDescent="0.2">
      <c r="A40" s="182" t="s">
        <v>0</v>
      </c>
      <c r="B40" s="182"/>
      <c r="C40" s="182"/>
      <c r="D40" s="182"/>
      <c r="E40" s="182"/>
      <c r="F40" s="182"/>
      <c r="G40" s="182"/>
      <c r="H40" s="182"/>
      <c r="I40" s="182"/>
      <c r="J40" s="64"/>
      <c r="K40" s="293"/>
      <c r="L40" s="294"/>
      <c r="M40" s="68"/>
    </row>
    <row r="41" spans="1:42" ht="12.75" customHeight="1" x14ac:dyDescent="0.2">
      <c r="A41" s="182"/>
      <c r="B41" s="182"/>
      <c r="C41" s="182"/>
      <c r="D41" s="182"/>
      <c r="E41" s="182"/>
      <c r="F41" s="182"/>
      <c r="G41" s="182"/>
      <c r="H41" s="182"/>
      <c r="I41" s="182"/>
      <c r="J41" s="64"/>
      <c r="K41" s="307" t="s">
        <v>24</v>
      </c>
      <c r="L41" s="307"/>
      <c r="M41" s="69"/>
    </row>
    <row r="42" spans="1:42" ht="12.75" customHeight="1" x14ac:dyDescent="0.2">
      <c r="A42" s="182"/>
      <c r="B42" s="5" t="s">
        <v>2</v>
      </c>
      <c r="C42" s="5" t="s">
        <v>51</v>
      </c>
      <c r="D42" s="5" t="s">
        <v>3</v>
      </c>
      <c r="E42" s="5" t="s">
        <v>5</v>
      </c>
      <c r="F42" s="5" t="s">
        <v>52</v>
      </c>
      <c r="G42" s="182"/>
      <c r="H42" s="182"/>
      <c r="I42" s="182"/>
      <c r="J42" s="5" t="s">
        <v>4</v>
      </c>
      <c r="K42" s="307"/>
      <c r="L42" s="307"/>
      <c r="M42" s="69"/>
    </row>
    <row r="43" spans="1:42" ht="12.75" customHeight="1" x14ac:dyDescent="0.2">
      <c r="B43" s="52" t="s">
        <v>53</v>
      </c>
      <c r="C43" s="13"/>
      <c r="D43" s="9" t="s">
        <v>54</v>
      </c>
      <c r="E43" s="9">
        <v>1000</v>
      </c>
      <c r="F43" s="181">
        <v>1000</v>
      </c>
      <c r="G43" s="5" t="s">
        <v>55</v>
      </c>
      <c r="H43" s="5" t="s">
        <v>56</v>
      </c>
      <c r="I43" s="5" t="s">
        <v>57</v>
      </c>
      <c r="J43" s="8"/>
      <c r="K43" s="26" t="s">
        <v>37</v>
      </c>
      <c r="L43" s="27">
        <f>SUM(E43:E55)</f>
        <v>31700</v>
      </c>
      <c r="M43" s="70"/>
      <c r="Q43" s="2"/>
      <c r="R43" s="304" t="s">
        <v>0</v>
      </c>
    </row>
    <row r="44" spans="1:42" ht="12.75" customHeight="1" x14ac:dyDescent="0.2">
      <c r="B44" s="8" t="s">
        <v>58</v>
      </c>
      <c r="C44" s="8"/>
      <c r="D44" s="9" t="s">
        <v>59</v>
      </c>
      <c r="E44" s="9">
        <v>1000</v>
      </c>
      <c r="F44" s="9">
        <v>1000</v>
      </c>
      <c r="G44" s="181"/>
      <c r="H44" s="8"/>
      <c r="I44" s="8"/>
      <c r="J44" s="8"/>
      <c r="K44" s="26" t="s">
        <v>39</v>
      </c>
      <c r="L44" s="27">
        <f>SUM(F43:F56)</f>
        <v>22700</v>
      </c>
      <c r="M44" s="70"/>
      <c r="Q44" s="2"/>
      <c r="R44" s="304"/>
    </row>
    <row r="45" spans="1:42" ht="12.75" customHeight="1" x14ac:dyDescent="0.2">
      <c r="B45" s="23" t="s">
        <v>60</v>
      </c>
      <c r="C45" s="13"/>
      <c r="D45" s="9" t="s">
        <v>61</v>
      </c>
      <c r="E45" s="9">
        <v>1600</v>
      </c>
      <c r="F45" s="181">
        <v>1600</v>
      </c>
      <c r="G45" s="181"/>
      <c r="H45" s="8"/>
      <c r="I45" s="8"/>
      <c r="J45" s="8"/>
      <c r="K45" s="8"/>
      <c r="L45" s="8"/>
      <c r="Q45" s="2"/>
      <c r="R45" s="304"/>
    </row>
    <row r="46" spans="1:42" ht="12.75" customHeight="1" x14ac:dyDescent="0.2">
      <c r="A46" s="5" t="s">
        <v>1</v>
      </c>
      <c r="B46" s="13" t="s">
        <v>62</v>
      </c>
      <c r="C46" s="13"/>
      <c r="D46" s="9" t="s">
        <v>63</v>
      </c>
      <c r="E46" s="9">
        <v>1000</v>
      </c>
      <c r="F46" s="9">
        <v>1000</v>
      </c>
      <c r="G46" s="181"/>
      <c r="H46" s="8"/>
      <c r="I46" s="8"/>
      <c r="J46" s="8"/>
      <c r="K46" s="8"/>
      <c r="L46" s="8"/>
      <c r="R46" s="5" t="s">
        <v>1</v>
      </c>
    </row>
    <row r="47" spans="1:42" ht="12.75" customHeight="1" x14ac:dyDescent="0.2">
      <c r="A47" s="1">
        <v>1</v>
      </c>
      <c r="B47" s="13" t="s">
        <v>65</v>
      </c>
      <c r="C47" s="13"/>
      <c r="D47" s="9" t="s">
        <v>66</v>
      </c>
      <c r="E47" s="9">
        <v>2100</v>
      </c>
      <c r="F47" s="9">
        <v>2100</v>
      </c>
      <c r="G47" s="9"/>
      <c r="H47" s="8"/>
      <c r="I47" s="8"/>
      <c r="J47" s="33"/>
      <c r="K47" s="309" t="s">
        <v>46</v>
      </c>
      <c r="L47" s="309"/>
      <c r="M47" s="71"/>
      <c r="R47" s="1">
        <v>1</v>
      </c>
      <c r="AJ47" s="53"/>
      <c r="AK47" s="54"/>
      <c r="AL47" s="54"/>
      <c r="AM47" s="53"/>
      <c r="AN47" s="53"/>
    </row>
    <row r="48" spans="1:42" ht="12.75" customHeight="1" x14ac:dyDescent="0.2">
      <c r="A48" s="1">
        <v>2</v>
      </c>
      <c r="B48" s="8" t="s">
        <v>58</v>
      </c>
      <c r="C48" s="8"/>
      <c r="D48" s="9" t="s">
        <v>59</v>
      </c>
      <c r="E48" s="9">
        <v>2000</v>
      </c>
      <c r="F48" s="9">
        <v>2000</v>
      </c>
      <c r="G48" s="9"/>
      <c r="H48" s="8"/>
      <c r="I48" s="8"/>
      <c r="J48" s="33"/>
      <c r="K48" s="309"/>
      <c r="L48" s="309"/>
      <c r="M48" s="71"/>
      <c r="R48" s="1">
        <v>2</v>
      </c>
      <c r="AF48" s="302" t="s">
        <v>0</v>
      </c>
      <c r="AG48" s="302"/>
      <c r="AH48" s="302"/>
      <c r="AI48" s="302"/>
      <c r="AJ48" s="302"/>
      <c r="AK48" s="302"/>
      <c r="AL48" s="302"/>
      <c r="AM48" s="302"/>
      <c r="AN48" s="302"/>
      <c r="AO48" s="302"/>
      <c r="AP48" s="289"/>
    </row>
    <row r="49" spans="1:42" ht="12.75" customHeight="1" x14ac:dyDescent="0.2">
      <c r="A49" s="1">
        <v>3</v>
      </c>
      <c r="B49" s="13"/>
      <c r="C49" s="13"/>
      <c r="D49" s="9"/>
      <c r="E49" s="9"/>
      <c r="F49" s="9"/>
      <c r="G49" s="181"/>
      <c r="H49" s="8"/>
      <c r="I49" s="8"/>
      <c r="J49" s="8"/>
      <c r="K49" s="312">
        <f>L44*70/100</f>
        <v>15890</v>
      </c>
      <c r="L49" s="313"/>
      <c r="M49" s="72"/>
      <c r="R49" s="1">
        <v>3</v>
      </c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289"/>
    </row>
    <row r="50" spans="1:42" ht="12.75" customHeight="1" x14ac:dyDescent="0.2">
      <c r="A50" s="1">
        <v>4</v>
      </c>
      <c r="B50" s="8" t="s">
        <v>72</v>
      </c>
      <c r="C50" s="8"/>
      <c r="D50" s="8"/>
      <c r="E50" s="8"/>
      <c r="F50" s="9"/>
      <c r="G50" s="181"/>
      <c r="H50" s="8"/>
      <c r="I50" s="8"/>
      <c r="J50" s="8"/>
      <c r="K50" s="314"/>
      <c r="L50" s="315"/>
      <c r="M50" s="72"/>
      <c r="R50" s="1">
        <v>4</v>
      </c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290"/>
    </row>
    <row r="51" spans="1:42" ht="12.75" customHeight="1" x14ac:dyDescent="0.2">
      <c r="A51" s="1">
        <v>5</v>
      </c>
      <c r="B51" s="13" t="s">
        <v>73</v>
      </c>
      <c r="C51" s="13"/>
      <c r="D51" s="9" t="s">
        <v>74</v>
      </c>
      <c r="E51" s="9">
        <v>7000</v>
      </c>
      <c r="F51" s="9">
        <v>4000</v>
      </c>
      <c r="G51" s="181"/>
      <c r="H51" s="8"/>
      <c r="I51" s="8"/>
      <c r="J51" s="8"/>
      <c r="K51" s="8"/>
      <c r="L51" s="8"/>
      <c r="R51" s="1">
        <v>5</v>
      </c>
      <c r="AE51" s="5" t="s">
        <v>1</v>
      </c>
      <c r="AF51" s="5" t="s">
        <v>2</v>
      </c>
      <c r="AG51" s="5" t="s">
        <v>51</v>
      </c>
      <c r="AH51" s="5" t="s">
        <v>3</v>
      </c>
      <c r="AI51" s="5" t="s">
        <v>5</v>
      </c>
      <c r="AJ51" s="5" t="s">
        <v>52</v>
      </c>
      <c r="AK51" s="5" t="s">
        <v>55</v>
      </c>
      <c r="AL51" s="5" t="s">
        <v>56</v>
      </c>
      <c r="AM51" s="5" t="s">
        <v>57</v>
      </c>
      <c r="AN51" s="5" t="s">
        <v>4</v>
      </c>
      <c r="AO51" s="291" t="s">
        <v>75</v>
      </c>
      <c r="AP51" s="292"/>
    </row>
    <row r="52" spans="1:42" ht="12.75" customHeight="1" x14ac:dyDescent="0.2">
      <c r="A52" s="1">
        <v>6</v>
      </c>
      <c r="B52" s="13" t="s">
        <v>76</v>
      </c>
      <c r="C52" s="13"/>
      <c r="D52" s="9" t="s">
        <v>74</v>
      </c>
      <c r="E52" s="9">
        <v>8000</v>
      </c>
      <c r="F52" s="9">
        <v>5000</v>
      </c>
      <c r="G52" s="9">
        <f>E51-F51</f>
        <v>3000</v>
      </c>
      <c r="H52" s="8"/>
      <c r="I52" s="8"/>
      <c r="J52" s="8"/>
      <c r="K52" s="8"/>
      <c r="L52" s="8"/>
      <c r="Q52" s="36"/>
      <c r="R52" s="34">
        <v>6</v>
      </c>
      <c r="AE52" s="1">
        <v>1</v>
      </c>
      <c r="AF52" s="52" t="s">
        <v>80</v>
      </c>
      <c r="AG52" s="13" t="s">
        <v>81</v>
      </c>
      <c r="AH52" s="9" t="s">
        <v>67</v>
      </c>
      <c r="AI52" s="9">
        <v>1000</v>
      </c>
      <c r="AJ52" s="181">
        <v>1000</v>
      </c>
      <c r="AK52" s="181"/>
      <c r="AL52" s="8">
        <f t="shared" ref="AL52:AL74" si="5">AI52-AJ52</f>
        <v>0</v>
      </c>
      <c r="AM52" s="8"/>
      <c r="AN52" s="8"/>
      <c r="AO52" s="293"/>
      <c r="AP52" s="294"/>
    </row>
    <row r="53" spans="1:42" ht="12.75" customHeight="1" x14ac:dyDescent="0.2">
      <c r="A53" s="1">
        <v>7</v>
      </c>
      <c r="B53" s="13" t="s">
        <v>82</v>
      </c>
      <c r="C53" s="13"/>
      <c r="D53" s="9" t="s">
        <v>74</v>
      </c>
      <c r="E53" s="9">
        <v>8000</v>
      </c>
      <c r="F53" s="9">
        <v>5000</v>
      </c>
      <c r="G53" s="9">
        <f>E52-F52</f>
        <v>3000</v>
      </c>
      <c r="H53" s="8"/>
      <c r="I53" s="8"/>
      <c r="J53" s="58"/>
      <c r="K53" s="309" t="s">
        <v>47</v>
      </c>
      <c r="L53" s="309"/>
      <c r="M53" s="71"/>
      <c r="R53" s="1">
        <v>7</v>
      </c>
      <c r="AE53" s="1">
        <v>2</v>
      </c>
      <c r="AF53" s="8" t="s">
        <v>83</v>
      </c>
      <c r="AG53" s="8"/>
      <c r="AH53" s="9" t="s">
        <v>67</v>
      </c>
      <c r="AI53" s="9">
        <v>1000</v>
      </c>
      <c r="AJ53" s="9">
        <v>1000</v>
      </c>
      <c r="AK53" s="181"/>
      <c r="AL53" s="8">
        <f t="shared" si="5"/>
        <v>0</v>
      </c>
      <c r="AM53" s="8"/>
      <c r="AN53" s="8"/>
      <c r="AO53" s="307" t="s">
        <v>24</v>
      </c>
      <c r="AP53" s="307"/>
    </row>
    <row r="54" spans="1:42" ht="12.75" customHeight="1" x14ac:dyDescent="0.2">
      <c r="A54" s="1">
        <v>8</v>
      </c>
      <c r="B54" s="8"/>
      <c r="C54" s="8"/>
      <c r="D54" s="8"/>
      <c r="E54" s="8"/>
      <c r="F54" s="9"/>
      <c r="G54" s="9">
        <f>E53-F53</f>
        <v>3000</v>
      </c>
      <c r="H54" s="9"/>
      <c r="I54" s="9"/>
      <c r="J54" s="9"/>
      <c r="K54" s="309"/>
      <c r="L54" s="309"/>
      <c r="M54" s="71"/>
      <c r="R54" s="1"/>
      <c r="AE54" s="1">
        <v>3</v>
      </c>
      <c r="AF54" s="23" t="s">
        <v>84</v>
      </c>
      <c r="AG54" s="13"/>
      <c r="AH54" s="9" t="s">
        <v>67</v>
      </c>
      <c r="AI54" s="9">
        <v>1000</v>
      </c>
      <c r="AJ54" s="181">
        <v>1000</v>
      </c>
      <c r="AK54" s="181"/>
      <c r="AL54" s="8">
        <f t="shared" si="5"/>
        <v>0</v>
      </c>
      <c r="AM54" s="8"/>
      <c r="AN54" s="8"/>
      <c r="AO54" s="307"/>
      <c r="AP54" s="307"/>
    </row>
    <row r="55" spans="1:42" ht="12.75" customHeight="1" x14ac:dyDescent="0.2">
      <c r="A55" s="1">
        <v>9</v>
      </c>
      <c r="B55" s="8"/>
      <c r="C55" s="8"/>
      <c r="D55" s="8"/>
      <c r="E55" s="8"/>
      <c r="F55" s="9"/>
      <c r="G55" s="181"/>
      <c r="H55" s="9"/>
      <c r="I55" s="59"/>
      <c r="J55" s="9"/>
      <c r="K55" s="316">
        <f>L44*30/100</f>
        <v>6810</v>
      </c>
      <c r="L55" s="316"/>
      <c r="M55" s="72"/>
      <c r="R55" s="1"/>
      <c r="AE55" s="1">
        <v>4</v>
      </c>
      <c r="AF55" s="13" t="s">
        <v>85</v>
      </c>
      <c r="AG55" s="13"/>
      <c r="AH55" s="9" t="s">
        <v>67</v>
      </c>
      <c r="AI55" s="9">
        <v>1000</v>
      </c>
      <c r="AJ55" s="9">
        <v>1000</v>
      </c>
      <c r="AK55" s="9"/>
      <c r="AL55" s="8">
        <f t="shared" si="5"/>
        <v>0</v>
      </c>
      <c r="AM55" s="8"/>
      <c r="AN55" s="8"/>
      <c r="AO55" s="26" t="s">
        <v>37</v>
      </c>
      <c r="AP55" s="27">
        <f>SUM(AI52:AI73)</f>
        <v>5000</v>
      </c>
    </row>
    <row r="56" spans="1:42" ht="12.75" customHeight="1" x14ac:dyDescent="0.2">
      <c r="A56" s="28">
        <v>11</v>
      </c>
      <c r="B56" s="8"/>
      <c r="C56" s="8"/>
      <c r="D56" s="8"/>
      <c r="E56" s="8"/>
      <c r="F56" s="9"/>
      <c r="G56" s="181"/>
      <c r="H56" s="9"/>
      <c r="I56" s="9"/>
      <c r="J56" s="9"/>
      <c r="K56" s="316"/>
      <c r="L56" s="316"/>
      <c r="M56" s="72"/>
      <c r="R56" s="1"/>
      <c r="AE56" s="1">
        <v>5</v>
      </c>
      <c r="AF56" s="13" t="s">
        <v>86</v>
      </c>
      <c r="AG56" s="13"/>
      <c r="AH56" s="9" t="s">
        <v>67</v>
      </c>
      <c r="AI56" s="9">
        <v>1000</v>
      </c>
      <c r="AJ56" s="9">
        <v>0</v>
      </c>
      <c r="AK56" s="9"/>
      <c r="AL56" s="8">
        <f t="shared" si="5"/>
        <v>1000</v>
      </c>
      <c r="AM56" s="8"/>
      <c r="AN56" s="33"/>
      <c r="AO56" s="26" t="s">
        <v>39</v>
      </c>
      <c r="AP56" s="27">
        <f>SUM(AJ52:AJ70)</f>
        <v>4000</v>
      </c>
    </row>
    <row r="57" spans="1:42" ht="12.75" customHeight="1" x14ac:dyDescent="0.2">
      <c r="A57" s="28">
        <v>12</v>
      </c>
      <c r="B57" s="8"/>
      <c r="C57" s="8"/>
      <c r="D57" s="8"/>
      <c r="E57" s="8"/>
      <c r="F57" s="9"/>
      <c r="G57" s="9"/>
      <c r="H57" s="9"/>
      <c r="I57" s="9"/>
      <c r="J57" s="9"/>
      <c r="K57" s="8"/>
      <c r="L57" s="8"/>
      <c r="O57" s="3">
        <v>1000</v>
      </c>
      <c r="R57" s="1"/>
      <c r="AE57" s="1">
        <v>6</v>
      </c>
      <c r="AJ57" s="9"/>
      <c r="AK57" s="181"/>
      <c r="AL57" s="8">
        <f t="shared" si="5"/>
        <v>0</v>
      </c>
      <c r="AM57" s="8"/>
      <c r="AN57" s="33"/>
      <c r="AO57" s="26" t="s">
        <v>45</v>
      </c>
      <c r="AP57" s="27">
        <f>SUM(AL52:AL71)</f>
        <v>1000</v>
      </c>
    </row>
    <row r="58" spans="1:42" ht="12.75" customHeight="1" x14ac:dyDescent="0.2">
      <c r="A58" s="28">
        <v>13</v>
      </c>
      <c r="B58" s="8"/>
      <c r="C58" s="8"/>
      <c r="D58" s="8"/>
      <c r="E58" s="8"/>
      <c r="F58" s="9"/>
      <c r="G58" s="9"/>
      <c r="H58" s="9"/>
      <c r="I58" s="9"/>
      <c r="J58" s="9"/>
      <c r="K58" s="8"/>
      <c r="L58" s="8"/>
      <c r="O58" s="3">
        <v>500</v>
      </c>
      <c r="R58" s="1"/>
      <c r="AE58" s="1">
        <v>7</v>
      </c>
      <c r="AF58" s="13"/>
      <c r="AG58" s="13"/>
      <c r="AH58" s="9"/>
      <c r="AI58" s="9"/>
      <c r="AJ58" s="9"/>
      <c r="AK58" s="181"/>
      <c r="AL58" s="8">
        <f t="shared" si="5"/>
        <v>0</v>
      </c>
      <c r="AM58" s="8"/>
      <c r="AN58" s="8"/>
      <c r="AO58" s="8"/>
      <c r="AP58" s="8"/>
    </row>
    <row r="59" spans="1:42" ht="12.75" customHeight="1" x14ac:dyDescent="0.2">
      <c r="A59" s="60">
        <v>14</v>
      </c>
      <c r="B59" s="8"/>
      <c r="C59" s="8"/>
      <c r="D59" s="8"/>
      <c r="E59" s="8"/>
      <c r="F59" s="9"/>
      <c r="G59" s="9"/>
      <c r="H59" s="9"/>
      <c r="I59" s="9"/>
      <c r="J59" s="9"/>
      <c r="K59" s="307" t="s">
        <v>24</v>
      </c>
      <c r="L59" s="307"/>
      <c r="M59" s="69"/>
      <c r="N59" s="3" t="s">
        <v>87</v>
      </c>
      <c r="O59" s="3">
        <v>2000</v>
      </c>
      <c r="R59" s="9"/>
      <c r="AE59" s="1">
        <v>8</v>
      </c>
      <c r="AF59" s="8"/>
      <c r="AG59" s="8"/>
      <c r="AH59" s="8"/>
      <c r="AI59" s="8"/>
      <c r="AJ59" s="9"/>
      <c r="AK59" s="181"/>
      <c r="AL59" s="8">
        <f t="shared" si="5"/>
        <v>0</v>
      </c>
      <c r="AM59" s="8"/>
      <c r="AN59" s="8"/>
      <c r="AO59" s="309" t="s">
        <v>46</v>
      </c>
      <c r="AP59" s="309"/>
    </row>
    <row r="60" spans="1:42" ht="12.75" customHeight="1" x14ac:dyDescent="0.2">
      <c r="A60" s="60">
        <v>15</v>
      </c>
      <c r="B60" s="8"/>
      <c r="C60" s="8"/>
      <c r="D60" s="8"/>
      <c r="E60" s="8"/>
      <c r="F60" s="9"/>
      <c r="G60" s="9"/>
      <c r="H60" s="9"/>
      <c r="I60" s="9"/>
      <c r="J60" s="9"/>
      <c r="K60" s="307"/>
      <c r="L60" s="307"/>
      <c r="M60" s="69"/>
      <c r="N60" s="3" t="s">
        <v>88</v>
      </c>
      <c r="O60" s="3">
        <v>1000</v>
      </c>
      <c r="R60" s="9"/>
      <c r="AE60" s="1">
        <v>9</v>
      </c>
      <c r="AF60" s="8"/>
      <c r="AG60" s="8"/>
      <c r="AH60" s="8"/>
      <c r="AI60" s="8"/>
      <c r="AJ60" s="9"/>
      <c r="AK60" s="181"/>
      <c r="AL60" s="8">
        <f t="shared" si="5"/>
        <v>0</v>
      </c>
      <c r="AM60" s="8"/>
      <c r="AN60" s="8"/>
      <c r="AO60" s="309"/>
      <c r="AP60" s="309"/>
    </row>
    <row r="61" spans="1:42" ht="12.75" customHeight="1" x14ac:dyDescent="0.2">
      <c r="A61" s="60">
        <v>16</v>
      </c>
      <c r="B61" s="13"/>
      <c r="C61" s="13"/>
      <c r="D61" s="9"/>
      <c r="E61" s="181"/>
      <c r="F61" s="9"/>
      <c r="G61" s="9"/>
      <c r="H61" s="9"/>
      <c r="I61" s="9"/>
      <c r="J61" s="9"/>
      <c r="K61" s="316">
        <f>K49+K55</f>
        <v>22700</v>
      </c>
      <c r="L61" s="316"/>
      <c r="M61" s="72"/>
      <c r="O61" s="3">
        <v>2000</v>
      </c>
      <c r="R61" s="9"/>
      <c r="AE61" s="28">
        <v>11</v>
      </c>
      <c r="AF61" s="8"/>
      <c r="AG61" s="8"/>
      <c r="AH61" s="8"/>
      <c r="AI61" s="8"/>
      <c r="AJ61" s="9"/>
      <c r="AK61" s="181"/>
      <c r="AL61" s="8">
        <f t="shared" si="5"/>
        <v>0</v>
      </c>
      <c r="AM61" s="8"/>
      <c r="AN61" s="8"/>
      <c r="AO61" s="312">
        <f>AP56*70/100</f>
        <v>2800</v>
      </c>
      <c r="AP61" s="313"/>
    </row>
    <row r="62" spans="1:42" ht="12.75" customHeight="1" x14ac:dyDescent="0.2">
      <c r="A62" s="60">
        <v>17</v>
      </c>
      <c r="B62" s="13"/>
      <c r="C62" s="13"/>
      <c r="D62" s="9"/>
      <c r="E62" s="9"/>
      <c r="F62" s="9"/>
      <c r="G62" s="9"/>
      <c r="H62" s="181"/>
      <c r="I62" s="9"/>
      <c r="J62" s="9"/>
      <c r="K62" s="316"/>
      <c r="L62" s="316"/>
      <c r="M62" s="72"/>
      <c r="O62" s="3">
        <v>5000</v>
      </c>
      <c r="R62" s="9"/>
      <c r="AE62" s="28">
        <v>12</v>
      </c>
      <c r="AF62" s="8"/>
      <c r="AG62" s="8"/>
      <c r="AH62" s="8"/>
      <c r="AI62" s="8"/>
      <c r="AJ62" s="9"/>
      <c r="AK62" s="181"/>
      <c r="AL62" s="8">
        <f t="shared" si="5"/>
        <v>0</v>
      </c>
      <c r="AM62" s="9"/>
      <c r="AN62" s="58"/>
      <c r="AO62" s="314"/>
      <c r="AP62" s="315"/>
    </row>
    <row r="63" spans="1:42" ht="12.75" customHeight="1" x14ac:dyDescent="0.2">
      <c r="A63" s="60"/>
      <c r="B63" s="8"/>
      <c r="C63" s="8"/>
      <c r="D63" s="9"/>
      <c r="E63" s="9"/>
      <c r="F63" s="9"/>
      <c r="G63" s="9"/>
      <c r="H63" s="181"/>
      <c r="I63" s="9"/>
      <c r="J63" s="9"/>
      <c r="K63" s="8"/>
      <c r="L63" s="8"/>
      <c r="O63" s="3">
        <v>600</v>
      </c>
      <c r="R63" s="9"/>
      <c r="AE63" s="28">
        <v>13</v>
      </c>
      <c r="AF63" s="8"/>
      <c r="AG63" s="8"/>
      <c r="AH63" s="8"/>
      <c r="AI63" s="8"/>
      <c r="AJ63" s="9"/>
      <c r="AK63" s="181"/>
      <c r="AL63" s="8">
        <f t="shared" si="5"/>
        <v>0</v>
      </c>
      <c r="AM63" s="59"/>
      <c r="AN63" s="9"/>
      <c r="AO63" s="8"/>
      <c r="AP63" s="8"/>
    </row>
    <row r="64" spans="1:42" ht="12.75" customHeight="1" x14ac:dyDescent="0.2">
      <c r="B64" s="8"/>
      <c r="C64" s="8"/>
      <c r="D64" s="9"/>
      <c r="E64" s="9"/>
      <c r="F64" s="9"/>
      <c r="G64" s="183"/>
      <c r="J64" s="9"/>
      <c r="K64" s="309" t="s">
        <v>48</v>
      </c>
      <c r="L64" s="309"/>
      <c r="M64" s="71"/>
      <c r="O64" s="3">
        <v>4500</v>
      </c>
      <c r="R64" s="8"/>
      <c r="AE64" s="60">
        <v>14</v>
      </c>
      <c r="AF64" s="8"/>
      <c r="AG64" s="8"/>
      <c r="AH64" s="8"/>
      <c r="AI64" s="8"/>
      <c r="AJ64" s="9"/>
      <c r="AK64" s="181"/>
      <c r="AL64" s="8">
        <f t="shared" si="5"/>
        <v>0</v>
      </c>
      <c r="AM64" s="9"/>
      <c r="AN64" s="9"/>
      <c r="AO64" s="8"/>
      <c r="AP64" s="8"/>
    </row>
    <row r="65" spans="1:42" ht="12.75" customHeight="1" x14ac:dyDescent="0.2">
      <c r="A65" s="9"/>
      <c r="D65" s="9"/>
      <c r="E65" s="61"/>
      <c r="G65" s="9"/>
      <c r="H65" s="9"/>
      <c r="I65" s="9"/>
      <c r="J65" s="9"/>
      <c r="K65" s="309"/>
      <c r="L65" s="309"/>
      <c r="M65" s="71"/>
      <c r="O65" s="3">
        <f>SUM(O57:O64)</f>
        <v>16600</v>
      </c>
      <c r="R65" s="9"/>
      <c r="AE65" s="60">
        <v>15</v>
      </c>
      <c r="AF65" s="8"/>
      <c r="AG65" s="8"/>
      <c r="AH65" s="8"/>
      <c r="AI65" s="8"/>
      <c r="AJ65" s="9"/>
      <c r="AK65" s="9"/>
      <c r="AL65" s="8">
        <f t="shared" si="5"/>
        <v>0</v>
      </c>
      <c r="AM65" s="9"/>
      <c r="AN65" s="9"/>
      <c r="AO65" s="309" t="s">
        <v>47</v>
      </c>
      <c r="AP65" s="309"/>
    </row>
    <row r="66" spans="1:42" ht="12.75" customHeight="1" x14ac:dyDescent="0.2">
      <c r="A66" s="9"/>
      <c r="G66" s="9"/>
      <c r="H66" s="9"/>
      <c r="I66" s="9"/>
      <c r="K66" s="316">
        <v>16600</v>
      </c>
      <c r="L66" s="316"/>
      <c r="M66" s="72"/>
      <c r="R66" s="9"/>
      <c r="AE66" s="60">
        <v>16</v>
      </c>
      <c r="AF66" s="8"/>
      <c r="AG66" s="8"/>
      <c r="AH66" s="8"/>
      <c r="AI66" s="8"/>
      <c r="AJ66" s="9"/>
      <c r="AK66" s="9"/>
      <c r="AL66" s="8">
        <f t="shared" si="5"/>
        <v>0</v>
      </c>
      <c r="AM66" s="9"/>
      <c r="AN66" s="9"/>
      <c r="AO66" s="309"/>
      <c r="AP66" s="309"/>
    </row>
    <row r="67" spans="1:42" ht="12.75" customHeight="1" x14ac:dyDescent="0.2">
      <c r="A67" s="9"/>
      <c r="K67" s="316"/>
      <c r="L67" s="316"/>
      <c r="M67" s="72"/>
      <c r="R67" s="9"/>
      <c r="AE67" s="60">
        <v>17</v>
      </c>
      <c r="AF67" s="8"/>
      <c r="AG67" s="8"/>
      <c r="AH67" s="8"/>
      <c r="AI67" s="8"/>
      <c r="AJ67" s="9"/>
      <c r="AK67" s="9"/>
      <c r="AL67" s="8">
        <f t="shared" si="5"/>
        <v>0</v>
      </c>
      <c r="AM67" s="9"/>
      <c r="AN67" s="9"/>
      <c r="AO67" s="316">
        <f>AP56*30/100</f>
        <v>1200</v>
      </c>
      <c r="AP67" s="316"/>
    </row>
    <row r="68" spans="1:42" ht="12.75" customHeight="1" x14ac:dyDescent="0.2">
      <c r="A68" s="9"/>
      <c r="K68" s="8"/>
      <c r="L68" s="8"/>
      <c r="R68" s="9"/>
      <c r="AE68" s="60"/>
      <c r="AF68" s="8"/>
      <c r="AG68" s="8"/>
      <c r="AH68" s="8"/>
      <c r="AI68" s="8"/>
      <c r="AJ68" s="9"/>
      <c r="AK68" s="9"/>
      <c r="AL68" s="8">
        <f t="shared" si="5"/>
        <v>0</v>
      </c>
      <c r="AM68" s="9"/>
      <c r="AN68" s="9"/>
      <c r="AO68" s="316"/>
      <c r="AP68" s="316"/>
    </row>
    <row r="69" spans="1:42" ht="12.75" customHeight="1" x14ac:dyDescent="0.2">
      <c r="K69" s="309" t="s">
        <v>49</v>
      </c>
      <c r="L69" s="309"/>
      <c r="M69" s="71"/>
      <c r="R69" s="8"/>
      <c r="AF69" s="8"/>
      <c r="AG69" s="8"/>
      <c r="AH69" s="8"/>
      <c r="AI69" s="8"/>
      <c r="AJ69" s="9"/>
      <c r="AK69" s="9"/>
      <c r="AL69" s="8">
        <f t="shared" si="5"/>
        <v>0</v>
      </c>
      <c r="AM69" s="9"/>
      <c r="AN69" s="9"/>
      <c r="AO69" s="8"/>
      <c r="AP69" s="8"/>
    </row>
    <row r="70" spans="1:42" ht="12.75" customHeight="1" x14ac:dyDescent="0.2">
      <c r="K70" s="309"/>
      <c r="L70" s="309"/>
      <c r="M70" s="71"/>
      <c r="R70" s="8"/>
      <c r="AE70" s="9"/>
      <c r="AF70" s="13"/>
      <c r="AG70" s="13"/>
      <c r="AH70" s="9"/>
      <c r="AI70" s="181"/>
      <c r="AJ70" s="9"/>
      <c r="AK70" s="9"/>
      <c r="AL70" s="8">
        <f t="shared" si="5"/>
        <v>0</v>
      </c>
      <c r="AM70" s="9"/>
      <c r="AN70" s="9"/>
      <c r="AO70" s="8"/>
      <c r="AP70" s="8"/>
    </row>
    <row r="71" spans="1:42" ht="12.75" customHeight="1" x14ac:dyDescent="0.2">
      <c r="K71" s="316">
        <f>K49-K66</f>
        <v>-710</v>
      </c>
      <c r="L71" s="316"/>
      <c r="M71" s="72"/>
      <c r="R71" s="8"/>
      <c r="AE71" s="9"/>
      <c r="AF71" s="13"/>
      <c r="AG71" s="13"/>
      <c r="AH71" s="9"/>
      <c r="AI71" s="9"/>
      <c r="AJ71" s="9"/>
      <c r="AK71" s="9"/>
      <c r="AL71" s="8">
        <f t="shared" si="5"/>
        <v>0</v>
      </c>
      <c r="AM71" s="9"/>
      <c r="AN71" s="9"/>
      <c r="AO71" s="307" t="s">
        <v>24</v>
      </c>
      <c r="AP71" s="307"/>
    </row>
    <row r="72" spans="1:42" ht="12.75" customHeight="1" x14ac:dyDescent="0.2">
      <c r="K72" s="316"/>
      <c r="L72" s="316"/>
      <c r="M72" s="72"/>
      <c r="R72" s="8"/>
      <c r="AE72" s="9"/>
      <c r="AF72" s="8"/>
      <c r="AG72" s="8"/>
      <c r="AH72" s="9"/>
      <c r="AI72" s="9"/>
      <c r="AJ72" s="9"/>
      <c r="AK72" s="183"/>
      <c r="AL72" s="8">
        <f t="shared" si="5"/>
        <v>0</v>
      </c>
      <c r="AN72" s="9"/>
      <c r="AO72" s="307"/>
      <c r="AP72" s="307"/>
    </row>
    <row r="73" spans="1:42" ht="12.75" customHeight="1" x14ac:dyDescent="0.2">
      <c r="R73" s="8"/>
      <c r="AE73" s="9"/>
      <c r="AF73" s="8"/>
      <c r="AG73" s="8"/>
      <c r="AH73" s="9"/>
      <c r="AI73" s="9"/>
      <c r="AJ73" s="9"/>
      <c r="AK73" s="9"/>
      <c r="AL73" s="8">
        <f t="shared" si="5"/>
        <v>0</v>
      </c>
      <c r="AM73" s="9"/>
      <c r="AN73" s="9"/>
      <c r="AO73" s="316">
        <f>AO61+AO67</f>
        <v>4000</v>
      </c>
      <c r="AP73" s="316"/>
    </row>
    <row r="74" spans="1:42" ht="12.75" customHeight="1" x14ac:dyDescent="0.2">
      <c r="R74" s="8"/>
      <c r="AH74" s="9"/>
      <c r="AI74" s="61"/>
      <c r="AK74" s="9"/>
      <c r="AL74" s="8">
        <f t="shared" si="5"/>
        <v>0</v>
      </c>
      <c r="AM74" s="9"/>
      <c r="AN74" s="9"/>
      <c r="AO74" s="316"/>
      <c r="AP74" s="316"/>
    </row>
    <row r="75" spans="1:42" ht="12.75" customHeight="1" x14ac:dyDescent="0.2">
      <c r="R75" s="8"/>
      <c r="AO75" s="8"/>
      <c r="AP75" s="8"/>
    </row>
    <row r="76" spans="1:42" ht="12.75" customHeight="1" x14ac:dyDescent="0.2">
      <c r="R76" s="8"/>
      <c r="AO76" s="309" t="s">
        <v>48</v>
      </c>
      <c r="AP76" s="309"/>
    </row>
    <row r="77" spans="1:42" ht="12.75" customHeight="1" x14ac:dyDescent="0.2">
      <c r="R77" s="8"/>
      <c r="AO77" s="309"/>
      <c r="AP77" s="309"/>
    </row>
    <row r="78" spans="1:42" ht="12.75" customHeight="1" x14ac:dyDescent="0.2">
      <c r="R78" s="8"/>
      <c r="AO78" s="316">
        <v>0</v>
      </c>
      <c r="AP78" s="316"/>
    </row>
    <row r="79" spans="1:42" ht="12.75" customHeight="1" x14ac:dyDescent="0.2">
      <c r="AO79" s="316"/>
      <c r="AP79" s="316"/>
    </row>
    <row r="80" spans="1:42" ht="12.75" customHeight="1" x14ac:dyDescent="0.2">
      <c r="AO80" s="8"/>
      <c r="AP80" s="8"/>
    </row>
    <row r="81" spans="41:42" ht="12.75" customHeight="1" x14ac:dyDescent="0.2">
      <c r="AO81" s="309" t="s">
        <v>49</v>
      </c>
      <c r="AP81" s="309"/>
    </row>
    <row r="82" spans="41:42" ht="12.75" customHeight="1" x14ac:dyDescent="0.2">
      <c r="AO82" s="309"/>
      <c r="AP82" s="309"/>
    </row>
    <row r="83" spans="41:42" ht="12.75" customHeight="1" x14ac:dyDescent="0.2">
      <c r="AO83" s="316">
        <f>AO61-AO78</f>
        <v>2800</v>
      </c>
      <c r="AP83" s="316"/>
    </row>
    <row r="84" spans="41:42" ht="12.75" customHeight="1" x14ac:dyDescent="0.2">
      <c r="AO84" s="316"/>
      <c r="AP84" s="316"/>
    </row>
  </sheetData>
  <mergeCells count="79">
    <mergeCell ref="AK1:AK3"/>
    <mergeCell ref="G4:H5"/>
    <mergeCell ref="Q4:R5"/>
    <mergeCell ref="Z4:AA5"/>
    <mergeCell ref="AI4:AJ5"/>
    <mergeCell ref="T1:AA3"/>
    <mergeCell ref="AC1:AJ3"/>
    <mergeCell ref="A1:F3"/>
    <mergeCell ref="J1:P3"/>
    <mergeCell ref="G6:H7"/>
    <mergeCell ref="Q6:R7"/>
    <mergeCell ref="Z6:AA7"/>
    <mergeCell ref="AI6:AJ7"/>
    <mergeCell ref="G12:H13"/>
    <mergeCell ref="Q12:R13"/>
    <mergeCell ref="Z12:AA13"/>
    <mergeCell ref="AI12:AJ13"/>
    <mergeCell ref="G14:H15"/>
    <mergeCell ref="Q14:R15"/>
    <mergeCell ref="Z14:AA15"/>
    <mergeCell ref="AI14:AJ15"/>
    <mergeCell ref="G18:H19"/>
    <mergeCell ref="Q18:R19"/>
    <mergeCell ref="Z18:AA19"/>
    <mergeCell ref="AI18:AJ19"/>
    <mergeCell ref="G20:H21"/>
    <mergeCell ref="Q20:R21"/>
    <mergeCell ref="Z20:AA21"/>
    <mergeCell ref="AI20:AJ21"/>
    <mergeCell ref="G24:H25"/>
    <mergeCell ref="Q24:R25"/>
    <mergeCell ref="Z24:AA25"/>
    <mergeCell ref="AI24:AJ25"/>
    <mergeCell ref="G26:H27"/>
    <mergeCell ref="Q26:R27"/>
    <mergeCell ref="Z26:AA27"/>
    <mergeCell ref="AI26:AJ27"/>
    <mergeCell ref="G29:H30"/>
    <mergeCell ref="Q29:R30"/>
    <mergeCell ref="Z29:AA30"/>
    <mergeCell ref="AI29:AJ30"/>
    <mergeCell ref="R43:R45"/>
    <mergeCell ref="G31:H32"/>
    <mergeCell ref="Q31:R32"/>
    <mergeCell ref="Z31:AA32"/>
    <mergeCell ref="AI31:AJ32"/>
    <mergeCell ref="G34:H35"/>
    <mergeCell ref="Q34:R35"/>
    <mergeCell ref="Z34:AA35"/>
    <mergeCell ref="AI34:AJ35"/>
    <mergeCell ref="G36:H36"/>
    <mergeCell ref="Q36:R36"/>
    <mergeCell ref="Z36:AA37"/>
    <mergeCell ref="K39:L40"/>
    <mergeCell ref="K41:L42"/>
    <mergeCell ref="K47:L48"/>
    <mergeCell ref="AF48:AO50"/>
    <mergeCell ref="AP48:AP50"/>
    <mergeCell ref="K49:L50"/>
    <mergeCell ref="AO51:AP52"/>
    <mergeCell ref="K64:L65"/>
    <mergeCell ref="AO65:AP66"/>
    <mergeCell ref="K66:L67"/>
    <mergeCell ref="AO67:AP68"/>
    <mergeCell ref="AO53:AP54"/>
    <mergeCell ref="K53:L54"/>
    <mergeCell ref="K55:L56"/>
    <mergeCell ref="AO59:AP60"/>
    <mergeCell ref="K59:L60"/>
    <mergeCell ref="AO61:AP62"/>
    <mergeCell ref="K61:L62"/>
    <mergeCell ref="AO76:AP77"/>
    <mergeCell ref="AO78:AP79"/>
    <mergeCell ref="AO81:AP82"/>
    <mergeCell ref="AO83:AP84"/>
    <mergeCell ref="K69:L70"/>
    <mergeCell ref="AO71:AP72"/>
    <mergeCell ref="K71:L72"/>
    <mergeCell ref="AO73:AP74"/>
  </mergeCells>
  <phoneticPr fontId="13" type="noConversion"/>
  <conditionalFormatting sqref="F43 F45:F47">
    <cfRule type="cellIs" dxfId="62" priority="16" operator="lessThan">
      <formula>500</formula>
    </cfRule>
  </conditionalFormatting>
  <conditionalFormatting sqref="F49:F64">
    <cfRule type="cellIs" dxfId="61" priority="13" operator="lessThan">
      <formula>500</formula>
    </cfRule>
  </conditionalFormatting>
  <conditionalFormatting sqref="G44:G51">
    <cfRule type="cellIs" dxfId="60" priority="14" operator="lessThan">
      <formula>500</formula>
    </cfRule>
  </conditionalFormatting>
  <conditionalFormatting sqref="G55:G63 AJ70:AK71 AJ73:AK73">
    <cfRule type="cellIs" dxfId="59" priority="19" operator="lessThan">
      <formula>500</formula>
    </cfRule>
  </conditionalFormatting>
  <conditionalFormatting sqref="G65:G66">
    <cfRule type="cellIs" dxfId="58" priority="15" operator="lessThan">
      <formula>500</formula>
    </cfRule>
  </conditionalFormatting>
  <conditionalFormatting sqref="P6 F7 F9:F16 E18 F18:F25">
    <cfRule type="cellIs" dxfId="57" priority="4" operator="lessThan">
      <formula>500</formula>
    </cfRule>
  </conditionalFormatting>
  <conditionalFormatting sqref="P9:P11 P13 L14:M14 M17">
    <cfRule type="cellIs" dxfId="56" priority="3" operator="lessThan">
      <formula>500</formula>
    </cfRule>
  </conditionalFormatting>
  <conditionalFormatting sqref="Y5">
    <cfRule type="cellIs" dxfId="55" priority="2" operator="lessThan">
      <formula>500</formula>
    </cfRule>
  </conditionalFormatting>
  <conditionalFormatting sqref="Y7:Y26">
    <cfRule type="cellIs" dxfId="54" priority="1" operator="lessThan">
      <formula>500</formula>
    </cfRule>
  </conditionalFormatting>
  <conditionalFormatting sqref="AH5:AH36">
    <cfRule type="cellIs" dxfId="53" priority="5" operator="lessThan">
      <formula>500</formula>
    </cfRule>
  </conditionalFormatting>
  <conditionalFormatting sqref="AJ52 AJ54:AJ69">
    <cfRule type="cellIs" dxfId="52" priority="11" operator="lessThan">
      <formula>500</formula>
    </cfRule>
  </conditionalFormatting>
  <conditionalFormatting sqref="AJ72 AK74">
    <cfRule type="cellIs" dxfId="51" priority="10" operator="lessThan">
      <formula>500</formula>
    </cfRule>
  </conditionalFormatting>
  <conditionalFormatting sqref="AK52:AK69">
    <cfRule type="cellIs" dxfId="50" priority="9" operator="lessThan">
      <formula>500</formula>
    </cfRule>
  </conditionalFormatting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"/>
  <sheetViews>
    <sheetView topLeftCell="A2" zoomScaleNormal="100" workbookViewId="0">
      <selection activeCell="P21" sqref="P21"/>
    </sheetView>
  </sheetViews>
  <sheetFormatPr defaultRowHeight="15" x14ac:dyDescent="0.25"/>
  <cols>
    <col min="1" max="1" width="5.5703125" customWidth="1"/>
    <col min="2" max="2" width="18.28515625" customWidth="1"/>
    <col min="3" max="3" width="14" customWidth="1"/>
    <col min="7" max="7" width="18.28515625" customWidth="1"/>
    <col min="8" max="8" width="18.42578125" customWidth="1"/>
    <col min="10" max="10" width="4.7109375" customWidth="1"/>
    <col min="11" max="11" width="18.5703125" customWidth="1"/>
    <col min="12" max="12" width="16.140625" customWidth="1"/>
    <col min="13" max="13" width="5.7109375" customWidth="1"/>
    <col min="15" max="15" width="8.5703125" customWidth="1"/>
    <col min="16" max="16" width="9.140625" customWidth="1"/>
    <col min="17" max="17" width="13.140625" customWidth="1"/>
    <col min="18" max="18" width="12.85546875" customWidth="1"/>
    <col min="21" max="21" width="19.140625" customWidth="1"/>
    <col min="22" max="22" width="10.85546875" customWidth="1"/>
    <col min="23" max="23" width="10.28515625" customWidth="1"/>
    <col min="24" max="24" width="8.85546875" customWidth="1"/>
    <col min="26" max="26" width="22.7109375" customWidth="1"/>
    <col min="27" max="27" width="23.5703125" customWidth="1"/>
  </cols>
  <sheetData>
    <row r="1" spans="1:27" x14ac:dyDescent="0.25">
      <c r="A1" s="302" t="s">
        <v>0</v>
      </c>
      <c r="B1" s="302"/>
      <c r="C1" s="302"/>
      <c r="D1" s="302"/>
      <c r="E1" s="302"/>
      <c r="F1" s="302"/>
      <c r="G1" s="66"/>
      <c r="H1" s="66"/>
      <c r="I1" s="54"/>
      <c r="J1" s="331" t="s">
        <v>0</v>
      </c>
      <c r="K1" s="332"/>
      <c r="L1" s="332"/>
      <c r="M1" s="332"/>
      <c r="N1" s="332"/>
      <c r="O1" s="332"/>
      <c r="P1" s="332"/>
      <c r="Q1" s="66"/>
      <c r="R1" s="66"/>
      <c r="S1" s="3"/>
      <c r="T1" s="306" t="s">
        <v>0</v>
      </c>
      <c r="U1" s="304"/>
      <c r="V1" s="304"/>
      <c r="W1" s="304"/>
      <c r="X1" s="304"/>
      <c r="Y1" s="304"/>
      <c r="Z1" s="304"/>
      <c r="AA1" s="305"/>
    </row>
    <row r="2" spans="1:27" x14ac:dyDescent="0.25">
      <c r="A2" s="302"/>
      <c r="B2" s="302"/>
      <c r="C2" s="302"/>
      <c r="D2" s="302"/>
      <c r="E2" s="302"/>
      <c r="F2" s="302"/>
      <c r="G2" s="66"/>
      <c r="H2" s="66"/>
      <c r="I2" s="54"/>
      <c r="J2" s="333"/>
      <c r="K2" s="302"/>
      <c r="L2" s="302"/>
      <c r="M2" s="302"/>
      <c r="N2" s="302"/>
      <c r="O2" s="302"/>
      <c r="P2" s="302"/>
      <c r="Q2" s="66"/>
      <c r="R2" s="66"/>
      <c r="S2" s="3"/>
      <c r="T2" s="306"/>
      <c r="U2" s="304"/>
      <c r="V2" s="304"/>
      <c r="W2" s="304"/>
      <c r="X2" s="304"/>
      <c r="Y2" s="304"/>
      <c r="Z2" s="304"/>
      <c r="AA2" s="305"/>
    </row>
    <row r="3" spans="1:27" x14ac:dyDescent="0.25">
      <c r="A3" s="303"/>
      <c r="B3" s="303"/>
      <c r="C3" s="303"/>
      <c r="D3" s="303"/>
      <c r="E3" s="303"/>
      <c r="F3" s="303"/>
      <c r="G3" s="67"/>
      <c r="H3" s="67"/>
      <c r="I3" s="54"/>
      <c r="J3" s="334"/>
      <c r="K3" s="303"/>
      <c r="L3" s="303"/>
      <c r="M3" s="303"/>
      <c r="N3" s="303"/>
      <c r="O3" s="303"/>
      <c r="P3" s="303"/>
      <c r="Q3" s="66"/>
      <c r="R3" s="66"/>
      <c r="S3" s="3"/>
      <c r="T3" s="306"/>
      <c r="U3" s="304"/>
      <c r="V3" s="304"/>
      <c r="W3" s="304"/>
      <c r="X3" s="304"/>
      <c r="Y3" s="304"/>
      <c r="Z3" s="304"/>
      <c r="AA3" s="305"/>
    </row>
    <row r="4" spans="1:27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365" t="s">
        <v>7</v>
      </c>
      <c r="H4" s="366"/>
      <c r="I4" s="3"/>
      <c r="J4" s="5" t="s">
        <v>1</v>
      </c>
      <c r="K4" s="5" t="s">
        <v>2</v>
      </c>
      <c r="L4" s="5" t="s">
        <v>3</v>
      </c>
      <c r="M4" s="5" t="s">
        <v>89</v>
      </c>
      <c r="N4" s="5" t="s">
        <v>4</v>
      </c>
      <c r="O4" s="5" t="s">
        <v>5</v>
      </c>
      <c r="P4" s="5" t="s">
        <v>6</v>
      </c>
      <c r="Q4" s="339" t="s">
        <v>8</v>
      </c>
      <c r="R4" s="339"/>
      <c r="S4" s="6"/>
      <c r="T4" s="7" t="s">
        <v>1</v>
      </c>
      <c r="U4" s="5" t="s">
        <v>2</v>
      </c>
      <c r="V4" s="5" t="s">
        <v>3</v>
      </c>
      <c r="W4" s="5" t="s">
        <v>4</v>
      </c>
      <c r="X4" s="5" t="s">
        <v>5</v>
      </c>
      <c r="Y4" s="5" t="s">
        <v>6</v>
      </c>
      <c r="Z4" s="343" t="s">
        <v>10</v>
      </c>
      <c r="AA4" s="344"/>
    </row>
    <row r="5" spans="1:27" x14ac:dyDescent="0.25">
      <c r="A5" s="1">
        <v>1</v>
      </c>
      <c r="B5" s="8" t="s">
        <v>12</v>
      </c>
      <c r="C5" s="9" t="s">
        <v>144</v>
      </c>
      <c r="D5" s="10">
        <v>45668</v>
      </c>
      <c r="E5" s="9">
        <v>1000</v>
      </c>
      <c r="F5" s="11">
        <v>2000</v>
      </c>
      <c r="G5" s="367"/>
      <c r="H5" s="368"/>
      <c r="I5" s="3"/>
      <c r="J5" s="8">
        <v>1</v>
      </c>
      <c r="K5" s="8" t="s">
        <v>14</v>
      </c>
      <c r="L5" s="8" t="s">
        <v>15</v>
      </c>
      <c r="M5" s="8" t="s">
        <v>91</v>
      </c>
      <c r="N5" s="8" t="s">
        <v>16</v>
      </c>
      <c r="O5" s="8">
        <v>3000</v>
      </c>
      <c r="P5" s="8">
        <v>3000</v>
      </c>
      <c r="Q5" s="341"/>
      <c r="R5" s="341"/>
      <c r="S5" s="3"/>
      <c r="T5" s="14">
        <v>1</v>
      </c>
      <c r="U5" s="13" t="s">
        <v>17</v>
      </c>
      <c r="V5" s="13" t="s">
        <v>18</v>
      </c>
      <c r="W5" s="9" t="s">
        <v>19</v>
      </c>
      <c r="X5" s="9">
        <v>1500</v>
      </c>
      <c r="Y5" s="9">
        <v>1500</v>
      </c>
      <c r="Z5" s="345"/>
      <c r="AA5" s="344"/>
    </row>
    <row r="6" spans="1:27" x14ac:dyDescent="0.25">
      <c r="A6" s="1">
        <v>2</v>
      </c>
      <c r="B6" s="16" t="s">
        <v>22</v>
      </c>
      <c r="C6" s="181" t="s">
        <v>23</v>
      </c>
      <c r="D6" s="17">
        <v>45849</v>
      </c>
      <c r="E6" s="181">
        <v>1000</v>
      </c>
      <c r="F6" s="11">
        <v>500</v>
      </c>
      <c r="G6" s="307" t="s">
        <v>24</v>
      </c>
      <c r="H6" s="307"/>
      <c r="I6" s="3"/>
      <c r="J6" s="8">
        <v>2</v>
      </c>
      <c r="K6" s="8" t="s">
        <v>20</v>
      </c>
      <c r="L6" s="8" t="s">
        <v>25</v>
      </c>
      <c r="M6" s="8" t="s">
        <v>145</v>
      </c>
      <c r="N6" s="8">
        <v>46823</v>
      </c>
      <c r="O6" s="8">
        <v>2000</v>
      </c>
      <c r="P6" s="8">
        <v>2000</v>
      </c>
      <c r="Q6" s="307" t="s">
        <v>24</v>
      </c>
      <c r="R6" s="308"/>
      <c r="S6" s="3"/>
      <c r="T6" s="1">
        <v>2</v>
      </c>
      <c r="U6" s="8" t="s">
        <v>26</v>
      </c>
      <c r="V6" s="13" t="s">
        <v>27</v>
      </c>
      <c r="W6" s="10">
        <v>45667</v>
      </c>
      <c r="X6" s="9">
        <v>4500</v>
      </c>
      <c r="Y6" s="9">
        <v>2500</v>
      </c>
      <c r="Z6" s="307" t="s">
        <v>24</v>
      </c>
      <c r="AA6" s="308"/>
    </row>
    <row r="7" spans="1:27" x14ac:dyDescent="0.25">
      <c r="A7" s="1">
        <v>3</v>
      </c>
      <c r="B7" s="63" t="s">
        <v>92</v>
      </c>
      <c r="C7" s="9"/>
      <c r="D7" s="9" t="s">
        <v>93</v>
      </c>
      <c r="E7" s="9">
        <v>4000</v>
      </c>
      <c r="F7" s="9">
        <v>4000</v>
      </c>
      <c r="G7" s="307"/>
      <c r="H7" s="307"/>
      <c r="I7" s="3"/>
      <c r="J7" s="8">
        <v>3</v>
      </c>
      <c r="K7" s="8" t="s">
        <v>30</v>
      </c>
      <c r="L7" s="8" t="s">
        <v>31</v>
      </c>
      <c r="M7" s="8" t="s">
        <v>91</v>
      </c>
      <c r="N7" s="8" t="s">
        <v>32</v>
      </c>
      <c r="O7" s="8">
        <v>1000</v>
      </c>
      <c r="P7" s="8">
        <v>1000</v>
      </c>
      <c r="Q7" s="307"/>
      <c r="R7" s="308"/>
      <c r="S7" s="3"/>
      <c r="T7" s="1">
        <v>3</v>
      </c>
      <c r="U7" s="23" t="s">
        <v>33</v>
      </c>
      <c r="V7" s="13" t="s">
        <v>34</v>
      </c>
      <c r="W7" s="9" t="s">
        <v>35</v>
      </c>
      <c r="X7" s="9">
        <v>1000</v>
      </c>
      <c r="Y7" s="181">
        <v>1000</v>
      </c>
      <c r="Z7" s="307"/>
      <c r="AA7" s="307"/>
    </row>
    <row r="8" spans="1:27" x14ac:dyDescent="0.25">
      <c r="A8" s="1">
        <v>4</v>
      </c>
      <c r="B8" s="13" t="s">
        <v>94</v>
      </c>
      <c r="C8" s="9">
        <v>2</v>
      </c>
      <c r="D8" s="10">
        <v>46082</v>
      </c>
      <c r="E8" s="9">
        <v>2750</v>
      </c>
      <c r="F8" s="9">
        <v>2750</v>
      </c>
      <c r="G8" s="26" t="s">
        <v>37</v>
      </c>
      <c r="H8" s="27">
        <f>SUM(E5:E21)</f>
        <v>14450</v>
      </c>
      <c r="I8" s="3"/>
      <c r="J8" s="8">
        <v>4</v>
      </c>
      <c r="K8" s="8" t="s">
        <v>40</v>
      </c>
      <c r="L8" s="8" t="s">
        <v>95</v>
      </c>
      <c r="M8" s="8" t="s">
        <v>96</v>
      </c>
      <c r="N8" s="8">
        <v>45669</v>
      </c>
      <c r="O8" s="8">
        <v>2000</v>
      </c>
      <c r="P8" s="8">
        <v>1500</v>
      </c>
      <c r="Q8" s="29" t="s">
        <v>37</v>
      </c>
      <c r="R8" s="30">
        <f>SUM(O5:O23)</f>
        <v>27000</v>
      </c>
      <c r="S8" s="3"/>
      <c r="T8" s="1">
        <v>4</v>
      </c>
      <c r="U8" s="13" t="s">
        <v>101</v>
      </c>
      <c r="V8" s="13" t="s">
        <v>18</v>
      </c>
      <c r="W8" s="9"/>
      <c r="X8" s="9">
        <v>750</v>
      </c>
      <c r="Y8" s="9">
        <v>750</v>
      </c>
      <c r="Z8" s="26" t="s">
        <v>37</v>
      </c>
      <c r="AA8" s="27">
        <f>SUM(X5:X14)</f>
        <v>7750</v>
      </c>
    </row>
    <row r="9" spans="1:27" x14ac:dyDescent="0.25">
      <c r="A9" s="1">
        <v>5</v>
      </c>
      <c r="B9" s="13" t="s">
        <v>98</v>
      </c>
      <c r="C9" s="13" t="s">
        <v>99</v>
      </c>
      <c r="D9" s="9"/>
      <c r="E9" s="9">
        <v>1200</v>
      </c>
      <c r="F9" s="9">
        <v>1200</v>
      </c>
      <c r="G9" s="26" t="s">
        <v>39</v>
      </c>
      <c r="H9" s="27">
        <f>SUM(F5:F23)</f>
        <v>12200</v>
      </c>
      <c r="I9" s="3"/>
      <c r="J9" s="8">
        <v>5</v>
      </c>
      <c r="K9" s="8" t="s">
        <v>146</v>
      </c>
      <c r="L9" s="8" t="s">
        <v>147</v>
      </c>
      <c r="M9" s="8" t="s">
        <v>145</v>
      </c>
      <c r="N9" s="8" t="s">
        <v>148</v>
      </c>
      <c r="O9" s="8">
        <v>1000</v>
      </c>
      <c r="P9" s="8">
        <v>1000</v>
      </c>
      <c r="Q9" s="29" t="s">
        <v>39</v>
      </c>
      <c r="R9" s="30">
        <f>SUM(P5:P23)</f>
        <v>19000</v>
      </c>
      <c r="S9" s="48"/>
      <c r="T9" s="1">
        <v>5</v>
      </c>
      <c r="U9" s="13"/>
      <c r="V9" s="13"/>
      <c r="W9" s="9"/>
      <c r="X9" s="9"/>
      <c r="Y9" s="9"/>
      <c r="Z9" s="26" t="s">
        <v>39</v>
      </c>
      <c r="AA9" s="27">
        <f>SUM(Y5:Y23)</f>
        <v>5750</v>
      </c>
    </row>
    <row r="10" spans="1:27" x14ac:dyDescent="0.25">
      <c r="A10" s="34">
        <v>6</v>
      </c>
      <c r="B10" s="8" t="s">
        <v>149</v>
      </c>
      <c r="C10" s="8"/>
      <c r="D10" s="8"/>
      <c r="E10" s="9">
        <v>1000</v>
      </c>
      <c r="F10" s="9"/>
      <c r="G10" s="35"/>
      <c r="H10" s="35"/>
      <c r="I10" s="36"/>
      <c r="J10" s="8">
        <v>6</v>
      </c>
      <c r="K10" s="8" t="s">
        <v>92</v>
      </c>
      <c r="L10" s="8" t="s">
        <v>100</v>
      </c>
      <c r="M10" s="8" t="s">
        <v>96</v>
      </c>
      <c r="N10" s="8" t="s">
        <v>93</v>
      </c>
      <c r="O10" s="8">
        <v>4000</v>
      </c>
      <c r="P10" s="8">
        <v>4000</v>
      </c>
      <c r="Q10" s="39"/>
      <c r="R10" s="40"/>
      <c r="S10" s="36"/>
      <c r="T10" s="1">
        <v>6</v>
      </c>
      <c r="U10" s="35"/>
      <c r="V10" s="35"/>
      <c r="W10" s="35"/>
      <c r="X10" s="35"/>
      <c r="Y10" s="181"/>
      <c r="Z10" s="41" t="s">
        <v>45</v>
      </c>
      <c r="AA10" s="42">
        <f>SUM(Y5:Y11)</f>
        <v>5750</v>
      </c>
    </row>
    <row r="11" spans="1:27" x14ac:dyDescent="0.25">
      <c r="A11" s="1">
        <v>7</v>
      </c>
      <c r="B11" s="8" t="s">
        <v>103</v>
      </c>
      <c r="C11" s="8" t="s">
        <v>104</v>
      </c>
      <c r="D11" s="8"/>
      <c r="E11" s="9">
        <v>2500</v>
      </c>
      <c r="F11" s="9">
        <v>1750</v>
      </c>
      <c r="G11" s="8"/>
      <c r="H11" s="8"/>
      <c r="I11" s="3"/>
      <c r="J11" s="8">
        <v>7</v>
      </c>
      <c r="K11" s="8" t="s">
        <v>105</v>
      </c>
      <c r="L11" s="8" t="s">
        <v>41</v>
      </c>
      <c r="M11" s="8" t="s">
        <v>96</v>
      </c>
      <c r="N11" s="33">
        <v>46023</v>
      </c>
      <c r="O11" s="8">
        <v>1000</v>
      </c>
      <c r="P11" s="8">
        <v>1000</v>
      </c>
      <c r="Q11" s="44"/>
      <c r="R11" s="45"/>
      <c r="S11" s="3"/>
      <c r="T11" s="1">
        <v>7</v>
      </c>
      <c r="U11" s="13"/>
      <c r="V11" s="13"/>
      <c r="W11" s="9"/>
      <c r="X11" s="9"/>
      <c r="Y11" s="9"/>
      <c r="Z11" s="8"/>
      <c r="AA11" s="8"/>
    </row>
    <row r="12" spans="1:27" x14ac:dyDescent="0.25">
      <c r="A12" s="1">
        <v>8</v>
      </c>
      <c r="B12" s="8" t="s">
        <v>150</v>
      </c>
      <c r="C12" s="8" t="s">
        <v>151</v>
      </c>
      <c r="D12" s="9" t="s">
        <v>152</v>
      </c>
      <c r="E12" s="9">
        <v>1000</v>
      </c>
      <c r="F12" s="9"/>
      <c r="G12" s="309" t="s">
        <v>46</v>
      </c>
      <c r="H12" s="309"/>
      <c r="I12" s="3"/>
      <c r="J12" s="8">
        <v>8</v>
      </c>
      <c r="K12" s="8" t="s">
        <v>94</v>
      </c>
      <c r="L12" s="8" t="s">
        <v>111</v>
      </c>
      <c r="M12" s="8" t="s">
        <v>112</v>
      </c>
      <c r="N12" s="8"/>
      <c r="O12" s="8">
        <v>1250</v>
      </c>
      <c r="P12" s="74">
        <v>250</v>
      </c>
      <c r="Q12" s="310" t="s">
        <v>46</v>
      </c>
      <c r="R12" s="311"/>
      <c r="S12" s="3"/>
      <c r="T12" s="1">
        <v>8</v>
      </c>
      <c r="U12" s="8"/>
      <c r="V12" s="8"/>
      <c r="W12" s="8"/>
      <c r="X12" s="8"/>
      <c r="Y12" s="9"/>
      <c r="Z12" s="309" t="s">
        <v>46</v>
      </c>
      <c r="AA12" s="309"/>
    </row>
    <row r="13" spans="1:27" x14ac:dyDescent="0.25">
      <c r="A13" s="1">
        <v>9</v>
      </c>
      <c r="B13" s="8"/>
      <c r="C13" s="8"/>
      <c r="D13" s="8"/>
      <c r="E13" s="8"/>
      <c r="F13" s="9"/>
      <c r="G13" s="309"/>
      <c r="H13" s="309"/>
      <c r="I13" s="3"/>
      <c r="J13" s="8">
        <v>9</v>
      </c>
      <c r="K13" s="8" t="s">
        <v>97</v>
      </c>
      <c r="L13" s="8"/>
      <c r="M13" s="8" t="s">
        <v>115</v>
      </c>
      <c r="N13" s="8"/>
      <c r="O13" s="8">
        <v>500</v>
      </c>
      <c r="P13" s="74">
        <v>500</v>
      </c>
      <c r="Q13" s="309"/>
      <c r="R13" s="311"/>
      <c r="S13" s="3"/>
      <c r="T13" s="1">
        <v>9</v>
      </c>
      <c r="U13" s="8"/>
      <c r="V13" s="8"/>
      <c r="W13" s="8"/>
      <c r="X13" s="8"/>
      <c r="Y13" s="9"/>
      <c r="Z13" s="309"/>
      <c r="AA13" s="309"/>
    </row>
    <row r="14" spans="1:27" x14ac:dyDescent="0.25">
      <c r="A14" s="1"/>
      <c r="B14" s="8"/>
      <c r="C14" s="8"/>
      <c r="D14" s="8"/>
      <c r="E14" s="8"/>
      <c r="F14" s="9"/>
      <c r="G14" s="360">
        <f>H9*70/100</f>
        <v>8540</v>
      </c>
      <c r="H14" s="361"/>
      <c r="I14" s="3"/>
      <c r="J14" s="8">
        <v>10</v>
      </c>
      <c r="K14" s="8" t="s">
        <v>153</v>
      </c>
      <c r="L14" s="8" t="s">
        <v>154</v>
      </c>
      <c r="M14" s="8" t="s">
        <v>112</v>
      </c>
      <c r="N14" s="8"/>
      <c r="O14" s="8">
        <v>3000</v>
      </c>
      <c r="P14" s="74">
        <v>3000</v>
      </c>
      <c r="Q14" s="357">
        <f>R9*70/100</f>
        <v>13300</v>
      </c>
      <c r="R14" s="364"/>
      <c r="S14" s="3"/>
      <c r="T14" s="1">
        <v>10</v>
      </c>
      <c r="U14" s="8"/>
      <c r="V14" s="8"/>
      <c r="W14" s="8"/>
      <c r="X14" s="8"/>
      <c r="Y14" s="9"/>
      <c r="Z14" s="358">
        <f>AA9*70/100</f>
        <v>4025</v>
      </c>
      <c r="AA14" s="358"/>
    </row>
    <row r="15" spans="1:27" x14ac:dyDescent="0.25">
      <c r="A15" s="1"/>
      <c r="B15" s="8"/>
      <c r="C15" s="8"/>
      <c r="D15" s="8"/>
      <c r="E15" s="8"/>
      <c r="F15" s="9"/>
      <c r="G15" s="362"/>
      <c r="H15" s="363"/>
      <c r="I15" s="3"/>
      <c r="J15" s="8">
        <v>11</v>
      </c>
      <c r="K15" s="8" t="s">
        <v>101</v>
      </c>
      <c r="L15" s="8" t="s">
        <v>117</v>
      </c>
      <c r="M15" s="8" t="s">
        <v>91</v>
      </c>
      <c r="N15" s="8"/>
      <c r="O15" s="8">
        <v>750</v>
      </c>
      <c r="P15" s="74">
        <v>750</v>
      </c>
      <c r="Q15" s="357"/>
      <c r="R15" s="364"/>
      <c r="S15" s="3">
        <f>SUM(12075-9000)</f>
        <v>3075</v>
      </c>
      <c r="T15" s="1">
        <v>11</v>
      </c>
      <c r="U15" s="8"/>
      <c r="V15" s="8"/>
      <c r="W15" s="8"/>
      <c r="X15" s="8"/>
      <c r="Y15" s="9"/>
      <c r="Z15" s="358"/>
      <c r="AA15" s="358"/>
    </row>
    <row r="16" spans="1:27" x14ac:dyDescent="0.25">
      <c r="A16" s="1"/>
      <c r="B16" s="8"/>
      <c r="C16" s="8"/>
      <c r="D16" s="8"/>
      <c r="E16" s="8"/>
      <c r="F16" s="9"/>
      <c r="G16" s="8"/>
      <c r="H16" s="8"/>
      <c r="I16" s="3"/>
      <c r="J16" s="15">
        <v>12</v>
      </c>
      <c r="K16" s="13" t="s">
        <v>120</v>
      </c>
      <c r="L16" s="13" t="s">
        <v>121</v>
      </c>
      <c r="M16" s="13" t="s">
        <v>96</v>
      </c>
      <c r="N16" s="9"/>
      <c r="O16" s="181">
        <v>1000</v>
      </c>
      <c r="P16" s="74">
        <v>1000</v>
      </c>
      <c r="Q16" s="8"/>
      <c r="R16" s="45"/>
      <c r="S16" s="73"/>
      <c r="T16" s="1">
        <v>12</v>
      </c>
      <c r="U16" s="8"/>
      <c r="V16" s="8"/>
      <c r="W16" s="8"/>
      <c r="X16" s="8"/>
      <c r="Y16" s="9"/>
      <c r="Z16" s="8"/>
      <c r="AA16" s="8"/>
    </row>
    <row r="17" spans="1:27" x14ac:dyDescent="0.25">
      <c r="A17" s="1"/>
      <c r="B17" s="8"/>
      <c r="C17" s="8"/>
      <c r="D17" s="8"/>
      <c r="E17" s="8"/>
      <c r="F17" s="9"/>
      <c r="G17" s="8"/>
      <c r="H17" s="8"/>
      <c r="I17" s="3"/>
      <c r="J17" s="8">
        <v>13</v>
      </c>
      <c r="K17" s="13" t="s">
        <v>155</v>
      </c>
      <c r="L17" s="49" t="s">
        <v>156</v>
      </c>
      <c r="M17" s="49" t="s">
        <v>112</v>
      </c>
      <c r="N17" s="9"/>
      <c r="O17" s="9">
        <v>3000</v>
      </c>
      <c r="P17" s="9"/>
      <c r="Q17" s="8"/>
      <c r="R17" s="45"/>
      <c r="S17" s="3"/>
      <c r="T17" s="1">
        <v>13</v>
      </c>
      <c r="U17" s="8"/>
      <c r="V17" s="8"/>
      <c r="W17" s="8"/>
      <c r="X17" s="8"/>
      <c r="Y17" s="9"/>
      <c r="Z17" s="8"/>
      <c r="AA17" s="8"/>
    </row>
    <row r="18" spans="1:27" x14ac:dyDescent="0.25">
      <c r="A18" s="1"/>
      <c r="B18" s="8"/>
      <c r="C18" s="8"/>
      <c r="D18" s="8"/>
      <c r="E18" s="8"/>
      <c r="F18" s="9"/>
      <c r="G18" s="309" t="s">
        <v>47</v>
      </c>
      <c r="H18" s="309"/>
      <c r="I18" s="3"/>
      <c r="J18" s="8">
        <v>14</v>
      </c>
      <c r="K18" s="8" t="s">
        <v>157</v>
      </c>
      <c r="L18" s="50" t="s">
        <v>158</v>
      </c>
      <c r="M18" s="49" t="s">
        <v>112</v>
      </c>
      <c r="N18" s="9"/>
      <c r="O18" s="9">
        <v>1500</v>
      </c>
      <c r="P18" s="9"/>
      <c r="Q18" s="309" t="s">
        <v>47</v>
      </c>
      <c r="R18" s="311"/>
      <c r="S18" s="3"/>
      <c r="T18" s="1">
        <v>14</v>
      </c>
      <c r="U18" s="8"/>
      <c r="V18" s="8"/>
      <c r="W18" s="8"/>
      <c r="X18" s="8"/>
      <c r="Y18" s="9"/>
      <c r="Z18" s="309" t="s">
        <v>47</v>
      </c>
      <c r="AA18" s="309"/>
    </row>
    <row r="19" spans="1:27" x14ac:dyDescent="0.25">
      <c r="A19" s="1"/>
      <c r="B19" s="8"/>
      <c r="C19" s="8"/>
      <c r="D19" s="8"/>
      <c r="E19" s="8"/>
      <c r="F19" s="9"/>
      <c r="G19" s="309"/>
      <c r="H19" s="309"/>
      <c r="I19" s="3"/>
      <c r="J19" s="8">
        <v>15</v>
      </c>
      <c r="K19" s="8" t="s">
        <v>113</v>
      </c>
      <c r="L19" s="49" t="s">
        <v>125</v>
      </c>
      <c r="M19" s="18" t="s">
        <v>112</v>
      </c>
      <c r="N19" s="8"/>
      <c r="O19" s="9"/>
      <c r="P19" s="9"/>
      <c r="Q19" s="309"/>
      <c r="R19" s="311"/>
      <c r="S19" s="3">
        <f>SUM(1500-1250)</f>
        <v>250</v>
      </c>
      <c r="T19" s="1">
        <v>15</v>
      </c>
      <c r="U19" s="8"/>
      <c r="V19" s="8"/>
      <c r="W19" s="8"/>
      <c r="X19" s="8"/>
      <c r="Y19" s="9"/>
      <c r="Z19" s="309"/>
      <c r="AA19" s="309"/>
    </row>
    <row r="20" spans="1:27" x14ac:dyDescent="0.25">
      <c r="A20" s="1"/>
      <c r="B20" s="8"/>
      <c r="C20" s="8"/>
      <c r="D20" s="8"/>
      <c r="E20" s="8"/>
      <c r="F20" s="9"/>
      <c r="G20" s="357">
        <f>H9*30/100</f>
        <v>3660</v>
      </c>
      <c r="H20" s="357"/>
      <c r="I20" s="3"/>
      <c r="J20" s="8">
        <v>16</v>
      </c>
      <c r="K20" s="8" t="s">
        <v>159</v>
      </c>
      <c r="L20" s="8" t="s">
        <v>160</v>
      </c>
      <c r="M20" s="8" t="s">
        <v>91</v>
      </c>
      <c r="N20" s="8" t="s">
        <v>152</v>
      </c>
      <c r="O20" s="8">
        <v>2000</v>
      </c>
      <c r="P20" s="8"/>
      <c r="Q20" s="358">
        <f>R9*30/100</f>
        <v>5700</v>
      </c>
      <c r="R20" s="359"/>
      <c r="S20" s="3"/>
      <c r="T20" s="1">
        <v>16</v>
      </c>
      <c r="U20" s="8"/>
      <c r="V20" s="8"/>
      <c r="W20" s="8"/>
      <c r="X20" s="8"/>
      <c r="Y20" s="9"/>
      <c r="Z20" s="354">
        <f>AA9*30/100</f>
        <v>1725</v>
      </c>
      <c r="AA20" s="354"/>
    </row>
    <row r="21" spans="1:27" x14ac:dyDescent="0.25">
      <c r="A21" s="1"/>
      <c r="B21" s="8"/>
      <c r="C21" s="8"/>
      <c r="D21" s="9"/>
      <c r="E21" s="9"/>
      <c r="F21" s="9"/>
      <c r="G21" s="357"/>
      <c r="H21" s="357"/>
      <c r="I21" s="3"/>
      <c r="J21" s="3"/>
      <c r="K21" s="3"/>
      <c r="L21" s="3"/>
      <c r="M21" s="3"/>
      <c r="N21" s="3"/>
      <c r="O21" s="3"/>
      <c r="P21" s="3" t="s">
        <v>78</v>
      </c>
      <c r="Q21" s="358"/>
      <c r="R21" s="359"/>
      <c r="S21" s="3"/>
      <c r="T21" s="1">
        <v>17</v>
      </c>
      <c r="U21" s="8"/>
      <c r="V21" s="8"/>
      <c r="W21" s="8"/>
      <c r="X21" s="8"/>
      <c r="Y21" s="9"/>
      <c r="Z21" s="354"/>
      <c r="AA21" s="354"/>
    </row>
    <row r="22" spans="1:27" x14ac:dyDescent="0.25">
      <c r="A22" s="1"/>
      <c r="B22" s="13"/>
      <c r="C22" s="13"/>
      <c r="D22" s="9"/>
      <c r="E22" s="9"/>
      <c r="F22" s="9"/>
      <c r="G22" s="8"/>
      <c r="H22" s="8"/>
      <c r="I22" s="3"/>
      <c r="J22" s="8"/>
      <c r="K22" s="8"/>
      <c r="L22" s="8"/>
      <c r="M22" s="8"/>
      <c r="N22" s="8"/>
      <c r="O22" s="8"/>
      <c r="P22" s="8"/>
      <c r="Q22" s="8"/>
      <c r="R22" s="45"/>
      <c r="S22" s="3"/>
      <c r="T22" s="1">
        <v>18</v>
      </c>
      <c r="U22" s="8"/>
      <c r="V22" s="8"/>
      <c r="W22" s="8"/>
      <c r="X22" s="8"/>
      <c r="Y22" s="9"/>
      <c r="Z22" s="8"/>
      <c r="AA22" s="8"/>
    </row>
    <row r="23" spans="1:27" x14ac:dyDescent="0.25">
      <c r="A23" s="1"/>
      <c r="B23" s="8"/>
      <c r="C23" s="8"/>
      <c r="D23" s="8"/>
      <c r="E23" s="8"/>
      <c r="F23" s="9"/>
      <c r="G23" s="8"/>
      <c r="H23" s="8"/>
      <c r="I23" s="3"/>
      <c r="J23" s="9"/>
      <c r="K23" s="8"/>
      <c r="L23" s="18"/>
      <c r="M23" s="18"/>
      <c r="N23" s="50"/>
      <c r="O23" s="9"/>
      <c r="P23" s="9"/>
      <c r="Q23" s="8"/>
      <c r="R23" s="45"/>
      <c r="S23" s="3"/>
      <c r="T23" s="1">
        <v>19</v>
      </c>
      <c r="U23" s="13"/>
      <c r="V23" s="13"/>
      <c r="W23" s="9"/>
      <c r="X23" s="181"/>
      <c r="Y23" s="9"/>
      <c r="Z23" s="8"/>
      <c r="AA23" s="8"/>
    </row>
    <row r="24" spans="1:27" x14ac:dyDescent="0.25">
      <c r="A24" s="9"/>
      <c r="B24" s="13"/>
      <c r="C24" s="13"/>
      <c r="D24" s="9"/>
      <c r="E24" s="181"/>
      <c r="F24" s="9"/>
      <c r="G24" s="307" t="s">
        <v>24</v>
      </c>
      <c r="H24" s="307"/>
      <c r="I24" s="3"/>
      <c r="J24" s="9"/>
      <c r="K24" s="8"/>
      <c r="L24" s="50"/>
      <c r="M24" s="50"/>
      <c r="N24" s="8"/>
      <c r="O24" s="8"/>
      <c r="P24" s="8"/>
      <c r="Q24" s="307" t="s">
        <v>24</v>
      </c>
      <c r="R24" s="308"/>
      <c r="S24" s="3"/>
      <c r="T24" s="1">
        <v>20</v>
      </c>
      <c r="U24" s="13"/>
      <c r="V24" s="13"/>
      <c r="W24" s="9"/>
      <c r="X24" s="9"/>
      <c r="Y24" s="9"/>
      <c r="Z24" s="307" t="s">
        <v>24</v>
      </c>
      <c r="AA24" s="307"/>
    </row>
    <row r="25" spans="1:27" x14ac:dyDescent="0.25">
      <c r="A25" s="9"/>
      <c r="B25" s="13"/>
      <c r="C25" s="13"/>
      <c r="D25" s="9"/>
      <c r="E25" s="9"/>
      <c r="F25" s="9"/>
      <c r="G25" s="307"/>
      <c r="H25" s="307"/>
      <c r="I25" s="3"/>
      <c r="J25" s="9"/>
      <c r="K25" s="8"/>
      <c r="L25" s="50"/>
      <c r="M25" s="50"/>
      <c r="N25" s="8"/>
      <c r="O25" s="8"/>
      <c r="P25" s="8"/>
      <c r="Q25" s="307"/>
      <c r="R25" s="308"/>
      <c r="S25" s="3"/>
      <c r="T25" s="1">
        <v>21</v>
      </c>
      <c r="U25" s="8"/>
      <c r="V25" s="8"/>
      <c r="W25" s="9"/>
      <c r="X25" s="9"/>
      <c r="Y25" s="9"/>
      <c r="Z25" s="307"/>
      <c r="AA25" s="307"/>
    </row>
    <row r="26" spans="1:27" x14ac:dyDescent="0.25">
      <c r="A26" s="9"/>
      <c r="B26" s="8"/>
      <c r="C26" s="8"/>
      <c r="D26" s="9"/>
      <c r="E26" s="9"/>
      <c r="F26" s="9"/>
      <c r="G26" s="355">
        <f>G14+G20</f>
        <v>12200</v>
      </c>
      <c r="H26" s="355"/>
      <c r="I26" s="3"/>
      <c r="J26" s="8"/>
      <c r="K26" s="8"/>
      <c r="L26" s="8"/>
      <c r="M26" s="8"/>
      <c r="N26" s="8"/>
      <c r="O26" s="8"/>
      <c r="P26" s="8"/>
      <c r="Q26" s="355">
        <f>Q14+Q20</f>
        <v>19000</v>
      </c>
      <c r="R26" s="346"/>
      <c r="S26" s="3"/>
      <c r="T26" s="1">
        <v>22</v>
      </c>
      <c r="U26" s="8"/>
      <c r="V26" s="8"/>
      <c r="W26" s="9"/>
      <c r="X26" s="9"/>
      <c r="Y26" s="9"/>
      <c r="Z26" s="356">
        <f>Z14+Z20</f>
        <v>5750</v>
      </c>
      <c r="AA26" s="356"/>
    </row>
    <row r="27" spans="1:27" x14ac:dyDescent="0.25">
      <c r="A27" s="8"/>
      <c r="B27" s="8"/>
      <c r="C27" s="8"/>
      <c r="D27" s="9"/>
      <c r="E27" s="9"/>
      <c r="F27" s="9"/>
      <c r="G27" s="355"/>
      <c r="H27" s="355"/>
      <c r="I27" s="3"/>
      <c r="J27" s="8"/>
      <c r="K27" s="8"/>
      <c r="L27" s="8"/>
      <c r="M27" s="8"/>
      <c r="N27" s="8"/>
      <c r="O27" s="8"/>
      <c r="P27" s="8"/>
      <c r="Q27" s="355"/>
      <c r="R27" s="346"/>
      <c r="S27" s="3"/>
      <c r="T27" s="1">
        <v>23</v>
      </c>
      <c r="U27" s="8"/>
      <c r="V27" s="8"/>
      <c r="W27" s="9"/>
      <c r="X27" s="9"/>
      <c r="Y27" s="8"/>
      <c r="Z27" s="356"/>
      <c r="AA27" s="356"/>
    </row>
    <row r="28" spans="1:27" x14ac:dyDescent="0.25">
      <c r="A28" s="8"/>
      <c r="B28" s="8"/>
      <c r="C28" s="8"/>
      <c r="D28" s="9"/>
      <c r="E28" s="9"/>
      <c r="F28" s="9"/>
      <c r="G28" s="8"/>
      <c r="H28" s="8"/>
      <c r="I28" s="3"/>
      <c r="J28" s="8"/>
      <c r="K28" s="8"/>
      <c r="L28" s="8"/>
      <c r="M28" s="8"/>
      <c r="N28" s="8"/>
      <c r="O28" s="8"/>
      <c r="P28" s="8"/>
      <c r="Q28" s="8"/>
      <c r="R28" s="8"/>
      <c r="S28" s="3"/>
      <c r="T28" s="1">
        <v>24</v>
      </c>
      <c r="U28" s="8"/>
      <c r="V28" s="8"/>
      <c r="W28" s="8"/>
      <c r="X28" s="8"/>
      <c r="Y28" s="8"/>
      <c r="Z28" s="8"/>
      <c r="AA28" s="8"/>
    </row>
    <row r="29" spans="1:27" x14ac:dyDescent="0.25">
      <c r="A29" s="8"/>
      <c r="B29" s="3"/>
      <c r="C29" s="3"/>
      <c r="D29" s="3"/>
      <c r="E29" s="3"/>
      <c r="F29" s="3"/>
      <c r="G29" s="318" t="s">
        <v>48</v>
      </c>
      <c r="H29" s="319"/>
      <c r="I29" s="3"/>
      <c r="J29" s="8"/>
      <c r="K29" s="8"/>
      <c r="L29" s="8"/>
      <c r="M29" s="8"/>
      <c r="N29" s="8"/>
      <c r="O29" s="8"/>
      <c r="P29" s="8"/>
      <c r="Q29" s="318" t="s">
        <v>48</v>
      </c>
      <c r="R29" s="319"/>
      <c r="S29" s="3"/>
      <c r="T29" s="8"/>
      <c r="U29" s="8"/>
      <c r="V29" s="8"/>
      <c r="W29" s="8"/>
      <c r="X29" s="8"/>
      <c r="Y29" s="8"/>
      <c r="Z29" s="318" t="s">
        <v>48</v>
      </c>
      <c r="AA29" s="319"/>
    </row>
    <row r="30" spans="1:27" x14ac:dyDescent="0.25">
      <c r="A30" s="8"/>
      <c r="B30" s="3"/>
      <c r="C30" s="3"/>
      <c r="D30" s="3"/>
      <c r="E30" s="3"/>
      <c r="F30" s="3"/>
      <c r="G30" s="320"/>
      <c r="H30" s="321"/>
      <c r="I30" s="3"/>
      <c r="J30" s="8"/>
      <c r="K30" s="8"/>
      <c r="L30" s="8"/>
      <c r="M30" s="8"/>
      <c r="N30" s="8"/>
      <c r="O30" s="8"/>
      <c r="P30" s="8"/>
      <c r="Q30" s="320"/>
      <c r="R30" s="321"/>
      <c r="S30" s="3"/>
      <c r="T30" s="8"/>
      <c r="U30" s="8"/>
      <c r="V30" s="8"/>
      <c r="W30" s="8"/>
      <c r="X30" s="8"/>
      <c r="Y30" s="8"/>
      <c r="Z30" s="320"/>
      <c r="AA30" s="321"/>
    </row>
    <row r="31" spans="1:27" x14ac:dyDescent="0.25">
      <c r="A31" s="8"/>
      <c r="B31" s="3"/>
      <c r="C31" s="3"/>
      <c r="D31" s="3"/>
      <c r="E31" s="3"/>
      <c r="F31" s="3"/>
      <c r="G31" s="354">
        <v>8700</v>
      </c>
      <c r="H31" s="354"/>
      <c r="I31" s="3"/>
      <c r="J31" s="8"/>
      <c r="K31" s="8"/>
      <c r="L31" s="8"/>
      <c r="M31" s="8"/>
      <c r="N31" s="8"/>
      <c r="O31" s="8"/>
      <c r="P31" s="8"/>
      <c r="Q31" s="354">
        <v>13000</v>
      </c>
      <c r="R31" s="354"/>
      <c r="S31" s="3"/>
      <c r="T31" s="8"/>
      <c r="U31" s="8"/>
      <c r="V31" s="8"/>
      <c r="W31" s="8"/>
      <c r="X31" s="8"/>
      <c r="Y31" s="8"/>
      <c r="Z31" s="354">
        <v>2500</v>
      </c>
      <c r="AA31" s="354"/>
    </row>
    <row r="32" spans="1:27" x14ac:dyDescent="0.25">
      <c r="A32" s="8"/>
      <c r="B32" s="3"/>
      <c r="C32" s="3"/>
      <c r="D32" s="3"/>
      <c r="E32" s="3"/>
      <c r="F32" s="3"/>
      <c r="G32" s="354"/>
      <c r="H32" s="354"/>
      <c r="I32" s="3"/>
      <c r="J32" s="8"/>
      <c r="K32" s="8"/>
      <c r="L32" s="8"/>
      <c r="M32" s="8"/>
      <c r="N32" s="8"/>
      <c r="O32" s="8"/>
      <c r="P32" s="8"/>
      <c r="Q32" s="354"/>
      <c r="R32" s="354"/>
      <c r="S32" s="3"/>
      <c r="T32" s="8"/>
      <c r="U32" s="8"/>
      <c r="V32" s="8"/>
      <c r="W32" s="8"/>
      <c r="X32" s="8"/>
      <c r="Y32" s="8"/>
      <c r="Z32" s="354"/>
      <c r="AA32" s="354"/>
    </row>
    <row r="33" spans="1:27" x14ac:dyDescent="0.25">
      <c r="A33" s="8"/>
      <c r="B33" s="3"/>
      <c r="C33" s="3"/>
      <c r="D33" s="3"/>
      <c r="E33" s="3"/>
      <c r="F33" s="3"/>
      <c r="G33" s="8"/>
      <c r="H33" s="8"/>
      <c r="I33" s="3">
        <v>1200</v>
      </c>
      <c r="J33" s="8"/>
      <c r="K33" s="8"/>
      <c r="L33" s="8"/>
      <c r="M33" s="8"/>
      <c r="N33" s="8"/>
      <c r="O33" s="8"/>
      <c r="P33" s="8"/>
      <c r="Q33" s="8"/>
      <c r="R33" s="8"/>
      <c r="S33" s="3"/>
      <c r="T33" s="3"/>
      <c r="U33" s="3"/>
      <c r="V33" s="3"/>
      <c r="W33" s="3"/>
      <c r="X33" s="3"/>
      <c r="Y33" s="3"/>
      <c r="Z33" s="46"/>
      <c r="AA33" s="46"/>
    </row>
    <row r="34" spans="1:27" x14ac:dyDescent="0.25">
      <c r="A34" s="8"/>
      <c r="B34" s="3"/>
      <c r="C34" s="3"/>
      <c r="D34" s="3"/>
      <c r="E34" s="3"/>
      <c r="F34" s="3"/>
      <c r="G34" s="309" t="s">
        <v>49</v>
      </c>
      <c r="H34" s="309"/>
      <c r="I34" s="3"/>
      <c r="J34" s="8"/>
      <c r="K34" s="8"/>
      <c r="L34" s="8"/>
      <c r="M34" s="8"/>
      <c r="N34" s="8"/>
      <c r="O34" s="8"/>
      <c r="P34" s="8"/>
      <c r="Q34" s="309" t="s">
        <v>49</v>
      </c>
      <c r="R34" s="309"/>
      <c r="S34" s="3"/>
      <c r="T34" s="3"/>
      <c r="U34" s="3"/>
      <c r="V34" s="3"/>
      <c r="W34" s="3"/>
      <c r="X34" s="3"/>
      <c r="Y34" s="3"/>
      <c r="Z34" s="309" t="s">
        <v>49</v>
      </c>
      <c r="AA34" s="309"/>
    </row>
    <row r="35" spans="1:27" x14ac:dyDescent="0.25">
      <c r="A35" s="8"/>
      <c r="B35" s="3"/>
      <c r="C35" s="3"/>
      <c r="D35" s="3"/>
      <c r="E35" s="3"/>
      <c r="F35" s="3"/>
      <c r="G35" s="309"/>
      <c r="H35" s="309"/>
      <c r="I35" s="3"/>
      <c r="J35" s="8"/>
      <c r="K35" s="8"/>
      <c r="L35" s="8"/>
      <c r="M35" s="8"/>
      <c r="N35" s="8"/>
      <c r="O35" s="8"/>
      <c r="P35" s="8"/>
      <c r="Q35" s="309"/>
      <c r="R35" s="309"/>
      <c r="S35" s="3"/>
      <c r="T35" s="3"/>
      <c r="U35" s="3"/>
      <c r="V35" s="3"/>
      <c r="W35" s="3"/>
      <c r="X35" s="3"/>
      <c r="Y35" s="3"/>
      <c r="Z35" s="309"/>
      <c r="AA35" s="309"/>
    </row>
    <row r="36" spans="1:27" ht="23.25" x14ac:dyDescent="0.25">
      <c r="A36" s="8"/>
      <c r="B36" s="3"/>
      <c r="C36" s="3"/>
      <c r="D36" s="3"/>
      <c r="E36" s="3"/>
      <c r="F36" s="3"/>
      <c r="G36" s="346">
        <f>G14-G31</f>
        <v>-160</v>
      </c>
      <c r="H36" s="347"/>
      <c r="I36" s="3"/>
      <c r="J36" s="8"/>
      <c r="K36" s="8"/>
      <c r="L36" s="8"/>
      <c r="M36" s="8"/>
      <c r="N36" s="8"/>
      <c r="O36" s="8"/>
      <c r="P36" s="8"/>
      <c r="Q36" s="348">
        <f>Q14-Q31</f>
        <v>300</v>
      </c>
      <c r="R36" s="349"/>
      <c r="S36" s="3">
        <v>1000</v>
      </c>
      <c r="T36" s="3"/>
      <c r="U36" s="3"/>
      <c r="V36" s="3"/>
      <c r="W36" s="3"/>
      <c r="X36" s="3"/>
      <c r="Y36" s="3"/>
      <c r="Z36" s="350">
        <f>Z14-Z31</f>
        <v>1525</v>
      </c>
      <c r="AA36" s="351"/>
    </row>
    <row r="37" spans="1:27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8"/>
      <c r="R37" s="8"/>
      <c r="S37" s="3"/>
      <c r="T37" s="3"/>
      <c r="U37" s="3"/>
      <c r="V37" s="3"/>
      <c r="W37" s="3"/>
      <c r="X37" s="3"/>
      <c r="Y37" s="3"/>
      <c r="Z37" s="352"/>
      <c r="AA37" s="353"/>
    </row>
  </sheetData>
  <mergeCells count="39">
    <mergeCell ref="A1:F3"/>
    <mergeCell ref="J1:P3"/>
    <mergeCell ref="T1:AA3"/>
    <mergeCell ref="G4:H5"/>
    <mergeCell ref="Q4:R5"/>
    <mergeCell ref="Z4:AA5"/>
    <mergeCell ref="G6:H7"/>
    <mergeCell ref="Q6:R7"/>
    <mergeCell ref="Z6:AA7"/>
    <mergeCell ref="G12:H13"/>
    <mergeCell ref="Q12:R13"/>
    <mergeCell ref="Z12:AA13"/>
    <mergeCell ref="G14:H15"/>
    <mergeCell ref="Q14:R15"/>
    <mergeCell ref="Z14:AA15"/>
    <mergeCell ref="G18:H19"/>
    <mergeCell ref="Q18:R19"/>
    <mergeCell ref="Z18:AA19"/>
    <mergeCell ref="G20:H21"/>
    <mergeCell ref="Q20:R21"/>
    <mergeCell ref="Z20:AA21"/>
    <mergeCell ref="G24:H25"/>
    <mergeCell ref="Q24:R25"/>
    <mergeCell ref="Z24:AA25"/>
    <mergeCell ref="G26:H27"/>
    <mergeCell ref="Q26:R27"/>
    <mergeCell ref="Z26:AA27"/>
    <mergeCell ref="G29:H30"/>
    <mergeCell ref="Q29:R30"/>
    <mergeCell ref="Z29:AA30"/>
    <mergeCell ref="G36:H36"/>
    <mergeCell ref="Q36:R36"/>
    <mergeCell ref="Z36:AA37"/>
    <mergeCell ref="G31:H32"/>
    <mergeCell ref="Q31:R32"/>
    <mergeCell ref="Z31:AA32"/>
    <mergeCell ref="G34:H35"/>
    <mergeCell ref="Q34:R35"/>
    <mergeCell ref="Z34:AA35"/>
  </mergeCells>
  <conditionalFormatting sqref="P7 F8:F28">
    <cfRule type="cellIs" dxfId="49" priority="4" operator="lessThan">
      <formula>500</formula>
    </cfRule>
  </conditionalFormatting>
  <conditionalFormatting sqref="P11:P14 P16:P18 L19:M19">
    <cfRule type="cellIs" dxfId="48" priority="3" operator="lessThan">
      <formula>500</formula>
    </cfRule>
  </conditionalFormatting>
  <conditionalFormatting sqref="Y5">
    <cfRule type="cellIs" dxfId="47" priority="2" operator="lessThan">
      <formula>500</formula>
    </cfRule>
  </conditionalFormatting>
  <conditionalFormatting sqref="Y7:Y26">
    <cfRule type="cellIs" dxfId="46" priority="1" operator="lessThan">
      <formula>500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84"/>
  <sheetViews>
    <sheetView zoomScale="115" zoomScaleNormal="115" workbookViewId="0">
      <selection activeCell="F19" sqref="F19"/>
    </sheetView>
  </sheetViews>
  <sheetFormatPr defaultColWidth="9.140625" defaultRowHeight="12" x14ac:dyDescent="0.2"/>
  <cols>
    <col min="1" max="1" width="6.5703125" style="3" customWidth="1"/>
    <col min="2" max="2" width="15" style="3" customWidth="1"/>
    <col min="3" max="3" width="14" style="3" customWidth="1"/>
    <col min="4" max="4" width="11.140625" style="3" customWidth="1"/>
    <col min="5" max="5" width="7.5703125" style="3" customWidth="1"/>
    <col min="6" max="6" width="7.85546875" style="3" customWidth="1"/>
    <col min="7" max="7" width="10.5703125" style="3" customWidth="1"/>
    <col min="8" max="8" width="13.28515625" style="3" customWidth="1"/>
    <col min="9" max="10" width="5.85546875" style="3" customWidth="1"/>
    <col min="11" max="11" width="13" style="3" customWidth="1"/>
    <col min="12" max="12" width="19.140625" style="3" customWidth="1"/>
    <col min="13" max="13" width="7" style="3" customWidth="1"/>
    <col min="14" max="14" width="10.7109375" style="3" customWidth="1"/>
    <col min="15" max="15" width="8.42578125" style="3" customWidth="1"/>
    <col min="16" max="16" width="8" style="3" customWidth="1"/>
    <col min="17" max="17" width="12.140625" style="3" customWidth="1"/>
    <col min="18" max="18" width="13.7109375" style="3" customWidth="1"/>
    <col min="19" max="19" width="14.85546875" style="3" customWidth="1"/>
    <col min="20" max="20" width="7.85546875" style="3" customWidth="1"/>
    <col min="21" max="22" width="13.5703125" style="3" customWidth="1"/>
    <col min="23" max="23" width="13" style="3" customWidth="1"/>
    <col min="24" max="24" width="13.5703125" style="3" customWidth="1"/>
    <col min="25" max="25" width="9.140625" style="3"/>
    <col min="26" max="26" width="11" style="3" customWidth="1"/>
    <col min="27" max="27" width="14.140625" style="3" customWidth="1"/>
    <col min="28" max="28" width="9.140625" style="3"/>
    <col min="29" max="29" width="7.140625" style="3" customWidth="1"/>
    <col min="30" max="30" width="14.85546875" style="3" customWidth="1"/>
    <col min="31" max="31" width="10.5703125" style="3" customWidth="1"/>
    <col min="32" max="32" width="10.7109375" style="3" customWidth="1"/>
    <col min="33" max="33" width="9.7109375" style="3" customWidth="1"/>
    <col min="34" max="34" width="10.5703125" style="3" customWidth="1"/>
    <col min="35" max="35" width="13.140625" style="3" customWidth="1"/>
    <col min="36" max="36" width="10.28515625" style="3" customWidth="1"/>
    <col min="37" max="37" width="9.140625" style="3"/>
    <col min="38" max="38" width="12.28515625" style="3" customWidth="1"/>
    <col min="39" max="39" width="15.5703125" style="3" customWidth="1"/>
    <col min="40" max="40" width="12" style="3" customWidth="1"/>
    <col min="41" max="41" width="23.85546875" style="3" customWidth="1"/>
    <col min="42" max="42" width="23.42578125" style="3" customWidth="1"/>
    <col min="43" max="43" width="11.5703125" style="3" customWidth="1"/>
    <col min="44" max="44" width="7.85546875" style="3" customWidth="1"/>
    <col min="45" max="45" width="9.140625" style="3"/>
    <col min="46" max="46" width="11.7109375" style="3" customWidth="1"/>
    <col min="47" max="47" width="11.140625" style="3" customWidth="1"/>
    <col min="48" max="48" width="11.42578125" style="3" customWidth="1"/>
    <col min="49" max="49" width="10.28515625" style="3" customWidth="1"/>
    <col min="50" max="50" width="10.5703125" style="3" customWidth="1"/>
    <col min="51" max="52" width="11.140625" style="3" customWidth="1"/>
    <col min="53" max="54" width="9.140625" style="3"/>
    <col min="55" max="56" width="13.42578125" style="3" customWidth="1"/>
    <col min="57" max="16384" width="9.140625" style="3"/>
  </cols>
  <sheetData>
    <row r="1" spans="1:37" ht="12.75" customHeight="1" x14ac:dyDescent="0.2">
      <c r="A1" s="302" t="s">
        <v>0</v>
      </c>
      <c r="B1" s="302"/>
      <c r="C1" s="302"/>
      <c r="D1" s="302"/>
      <c r="E1" s="302"/>
      <c r="F1" s="302"/>
      <c r="G1" s="66"/>
      <c r="H1" s="66"/>
      <c r="I1" s="54"/>
      <c r="J1" s="331" t="s">
        <v>0</v>
      </c>
      <c r="K1" s="332"/>
      <c r="L1" s="332"/>
      <c r="M1" s="332"/>
      <c r="N1" s="332"/>
      <c r="O1" s="332"/>
      <c r="P1" s="332"/>
      <c r="Q1" s="66"/>
      <c r="R1" s="66"/>
      <c r="T1" s="306" t="s">
        <v>0</v>
      </c>
      <c r="U1" s="304"/>
      <c r="V1" s="304"/>
      <c r="W1" s="304"/>
      <c r="X1" s="304"/>
      <c r="Y1" s="304"/>
      <c r="Z1" s="304"/>
      <c r="AA1" s="305"/>
      <c r="AB1" s="4"/>
      <c r="AC1" s="302" t="s">
        <v>0</v>
      </c>
      <c r="AD1" s="302"/>
      <c r="AE1" s="302"/>
      <c r="AF1" s="302"/>
      <c r="AG1" s="302"/>
      <c r="AH1" s="302"/>
      <c r="AI1" s="302"/>
      <c r="AJ1" s="302"/>
      <c r="AK1" s="289"/>
    </row>
    <row r="2" spans="1:37" ht="12.75" customHeight="1" x14ac:dyDescent="0.2">
      <c r="A2" s="302"/>
      <c r="B2" s="302"/>
      <c r="C2" s="302"/>
      <c r="D2" s="302"/>
      <c r="E2" s="302"/>
      <c r="F2" s="302"/>
      <c r="G2" s="66"/>
      <c r="H2" s="66"/>
      <c r="I2" s="54"/>
      <c r="J2" s="333"/>
      <c r="K2" s="302"/>
      <c r="L2" s="302"/>
      <c r="M2" s="302"/>
      <c r="N2" s="302"/>
      <c r="O2" s="302"/>
      <c r="P2" s="302"/>
      <c r="Q2" s="66"/>
      <c r="R2" s="66"/>
      <c r="T2" s="306"/>
      <c r="U2" s="304"/>
      <c r="V2" s="304"/>
      <c r="W2" s="304"/>
      <c r="X2" s="304"/>
      <c r="Y2" s="304"/>
      <c r="Z2" s="304"/>
      <c r="AA2" s="305"/>
      <c r="AB2" s="4"/>
      <c r="AC2" s="302"/>
      <c r="AD2" s="302"/>
      <c r="AE2" s="302"/>
      <c r="AF2" s="302"/>
      <c r="AG2" s="302"/>
      <c r="AH2" s="302"/>
      <c r="AI2" s="302"/>
      <c r="AJ2" s="302"/>
      <c r="AK2" s="289"/>
    </row>
    <row r="3" spans="1:37" ht="12.75" customHeight="1" x14ac:dyDescent="0.2">
      <c r="A3" s="303"/>
      <c r="B3" s="303"/>
      <c r="C3" s="303"/>
      <c r="D3" s="303"/>
      <c r="E3" s="303"/>
      <c r="F3" s="303"/>
      <c r="G3" s="67"/>
      <c r="H3" s="67"/>
      <c r="I3" s="54"/>
      <c r="J3" s="334"/>
      <c r="K3" s="303"/>
      <c r="L3" s="303"/>
      <c r="M3" s="303"/>
      <c r="N3" s="303"/>
      <c r="O3" s="303"/>
      <c r="P3" s="303"/>
      <c r="Q3" s="66"/>
      <c r="R3" s="66"/>
      <c r="T3" s="306"/>
      <c r="U3" s="304"/>
      <c r="V3" s="304"/>
      <c r="W3" s="304"/>
      <c r="X3" s="304"/>
      <c r="Y3" s="304"/>
      <c r="Z3" s="304"/>
      <c r="AA3" s="305"/>
      <c r="AB3" s="4"/>
      <c r="AC3" s="303"/>
      <c r="AD3" s="303"/>
      <c r="AE3" s="303"/>
      <c r="AF3" s="303"/>
      <c r="AG3" s="303"/>
      <c r="AH3" s="303"/>
      <c r="AI3" s="303"/>
      <c r="AJ3" s="303"/>
      <c r="AK3" s="290"/>
    </row>
    <row r="4" spans="1:37" ht="12.75" customHeight="1" x14ac:dyDescent="0.2">
      <c r="A4" s="75" t="s">
        <v>161</v>
      </c>
      <c r="B4" s="75" t="s">
        <v>2</v>
      </c>
      <c r="C4" s="75" t="s">
        <v>3</v>
      </c>
      <c r="D4" s="75" t="s">
        <v>4</v>
      </c>
      <c r="E4" s="75" t="s">
        <v>5</v>
      </c>
      <c r="F4" s="75" t="s">
        <v>6</v>
      </c>
      <c r="G4" s="335" t="s">
        <v>7</v>
      </c>
      <c r="H4" s="336"/>
      <c r="I4" s="76"/>
      <c r="J4" s="105" t="s">
        <v>1</v>
      </c>
      <c r="K4" s="105" t="s">
        <v>2</v>
      </c>
      <c r="L4" s="105" t="s">
        <v>3</v>
      </c>
      <c r="M4" s="105" t="s">
        <v>89</v>
      </c>
      <c r="N4" s="105" t="s">
        <v>4</v>
      </c>
      <c r="O4" s="105" t="s">
        <v>5</v>
      </c>
      <c r="P4" s="105" t="s">
        <v>6</v>
      </c>
      <c r="Q4" s="381" t="s">
        <v>8</v>
      </c>
      <c r="R4" s="382"/>
      <c r="S4" s="77"/>
      <c r="T4" s="7" t="s">
        <v>1</v>
      </c>
      <c r="U4" s="5" t="s">
        <v>2</v>
      </c>
      <c r="V4" s="5" t="s">
        <v>3</v>
      </c>
      <c r="W4" s="5" t="s">
        <v>4</v>
      </c>
      <c r="X4" s="5" t="s">
        <v>5</v>
      </c>
      <c r="Y4" s="5" t="s">
        <v>6</v>
      </c>
      <c r="Z4" s="384" t="s">
        <v>10</v>
      </c>
      <c r="AA4" s="385"/>
      <c r="AB4" s="183"/>
      <c r="AC4" s="5" t="s">
        <v>1</v>
      </c>
      <c r="AD4" s="5" t="s">
        <v>2</v>
      </c>
      <c r="AE4" s="5" t="s">
        <v>3</v>
      </c>
      <c r="AF4" s="5" t="s">
        <v>4</v>
      </c>
      <c r="AG4" s="5" t="s">
        <v>5</v>
      </c>
      <c r="AH4" s="5" t="s">
        <v>6</v>
      </c>
      <c r="AI4" s="298" t="s">
        <v>11</v>
      </c>
      <c r="AJ4" s="299"/>
    </row>
    <row r="5" spans="1:37" ht="12.75" customHeight="1" x14ac:dyDescent="0.2">
      <c r="A5" s="78">
        <v>1</v>
      </c>
      <c r="B5" s="378" t="s">
        <v>162</v>
      </c>
      <c r="C5" s="379"/>
      <c r="D5" s="378">
        <v>-215</v>
      </c>
      <c r="E5" s="380"/>
      <c r="F5" s="379"/>
      <c r="G5" s="337"/>
      <c r="H5" s="338"/>
      <c r="I5" s="76"/>
      <c r="J5" s="106">
        <v>1</v>
      </c>
      <c r="K5" s="375" t="s">
        <v>162</v>
      </c>
      <c r="L5" s="376"/>
      <c r="M5" s="376"/>
      <c r="N5" s="377"/>
      <c r="O5" s="107">
        <v>270</v>
      </c>
      <c r="P5" s="107">
        <v>270</v>
      </c>
      <c r="Q5" s="340"/>
      <c r="R5" s="383"/>
      <c r="S5" s="8"/>
      <c r="T5" s="14">
        <v>1</v>
      </c>
      <c r="U5" s="13" t="s">
        <v>17</v>
      </c>
      <c r="V5" s="9" t="s">
        <v>18</v>
      </c>
      <c r="W5" s="9" t="s">
        <v>19</v>
      </c>
      <c r="X5" s="9">
        <v>1500</v>
      </c>
      <c r="Y5" s="9">
        <v>1500</v>
      </c>
      <c r="Z5" s="386"/>
      <c r="AA5" s="387"/>
      <c r="AC5" s="1">
        <v>1</v>
      </c>
      <c r="AD5" s="15" t="s">
        <v>20</v>
      </c>
      <c r="AE5" s="9" t="s">
        <v>21</v>
      </c>
      <c r="AF5" s="10">
        <v>45971</v>
      </c>
      <c r="AG5" s="9">
        <v>1000</v>
      </c>
      <c r="AH5" s="9"/>
      <c r="AI5" s="300"/>
      <c r="AJ5" s="301"/>
    </row>
    <row r="6" spans="1:37" ht="12.75" customHeight="1" x14ac:dyDescent="0.2">
      <c r="A6" s="78">
        <v>2</v>
      </c>
      <c r="B6" s="114" t="s">
        <v>22</v>
      </c>
      <c r="C6" s="80" t="s">
        <v>90</v>
      </c>
      <c r="D6" s="81"/>
      <c r="E6" s="104">
        <v>2000</v>
      </c>
      <c r="F6" s="82">
        <v>2000</v>
      </c>
      <c r="G6" s="325" t="s">
        <v>24</v>
      </c>
      <c r="H6" s="325"/>
      <c r="I6" s="86"/>
      <c r="J6" s="106">
        <v>2</v>
      </c>
      <c r="K6" s="108" t="s">
        <v>40</v>
      </c>
      <c r="L6" s="108" t="s">
        <v>163</v>
      </c>
      <c r="M6" s="108" t="s">
        <v>96</v>
      </c>
      <c r="N6" s="108"/>
      <c r="O6" s="108">
        <v>3000</v>
      </c>
      <c r="P6" s="108">
        <v>3000</v>
      </c>
      <c r="Q6" s="369" t="s">
        <v>24</v>
      </c>
      <c r="R6" s="370"/>
      <c r="T6" s="1">
        <v>2</v>
      </c>
      <c r="U6" s="8" t="s">
        <v>26</v>
      </c>
      <c r="V6" s="9" t="s">
        <v>27</v>
      </c>
      <c r="W6" s="10">
        <v>45667</v>
      </c>
      <c r="X6" s="9">
        <v>4500</v>
      </c>
      <c r="Y6" s="9">
        <v>2500</v>
      </c>
      <c r="Z6" s="369" t="s">
        <v>24</v>
      </c>
      <c r="AA6" s="370"/>
      <c r="AC6" s="1">
        <v>2</v>
      </c>
      <c r="AD6" s="15" t="s">
        <v>28</v>
      </c>
      <c r="AE6" s="9" t="s">
        <v>21</v>
      </c>
      <c r="AF6" s="10">
        <v>45972</v>
      </c>
      <c r="AG6" s="9">
        <v>1500</v>
      </c>
      <c r="AH6" s="9"/>
      <c r="AI6" s="369" t="s">
        <v>24</v>
      </c>
      <c r="AJ6" s="373"/>
    </row>
    <row r="7" spans="1:37" ht="12.75" customHeight="1" x14ac:dyDescent="0.2">
      <c r="A7" s="78">
        <v>3</v>
      </c>
      <c r="B7" s="84" t="s">
        <v>92</v>
      </c>
      <c r="C7" s="85"/>
      <c r="D7" s="85"/>
      <c r="E7" s="115">
        <v>4000</v>
      </c>
      <c r="F7" s="85"/>
      <c r="G7" s="325"/>
      <c r="H7" s="325"/>
      <c r="I7" s="86"/>
      <c r="J7" s="106">
        <v>3</v>
      </c>
      <c r="K7" s="108" t="s">
        <v>92</v>
      </c>
      <c r="L7" s="108" t="s">
        <v>100</v>
      </c>
      <c r="M7" s="108" t="s">
        <v>96</v>
      </c>
      <c r="N7" s="108"/>
      <c r="O7" s="108">
        <v>5000</v>
      </c>
      <c r="P7" s="108"/>
      <c r="Q7" s="371"/>
      <c r="R7" s="372"/>
      <c r="T7" s="1">
        <v>3</v>
      </c>
      <c r="U7" s="23" t="s">
        <v>33</v>
      </c>
      <c r="V7" s="13" t="s">
        <v>34</v>
      </c>
      <c r="W7" s="9" t="s">
        <v>35</v>
      </c>
      <c r="X7" s="9">
        <v>1000</v>
      </c>
      <c r="Y7" s="181">
        <v>1000</v>
      </c>
      <c r="Z7" s="371"/>
      <c r="AA7" s="372"/>
      <c r="AC7" s="1">
        <v>3</v>
      </c>
      <c r="AD7" s="24" t="s">
        <v>97</v>
      </c>
      <c r="AE7" s="9" t="s">
        <v>21</v>
      </c>
      <c r="AF7" s="10">
        <v>45973</v>
      </c>
      <c r="AG7" s="25">
        <v>500</v>
      </c>
      <c r="AH7" s="9"/>
      <c r="AI7" s="371"/>
      <c r="AJ7" s="374"/>
    </row>
    <row r="8" spans="1:37" ht="12.75" customHeight="1" x14ac:dyDescent="0.2">
      <c r="A8" s="78">
        <v>4</v>
      </c>
      <c r="B8" s="87" t="s">
        <v>94</v>
      </c>
      <c r="C8" s="85">
        <v>2</v>
      </c>
      <c r="D8" s="88"/>
      <c r="E8" s="115">
        <v>2750</v>
      </c>
      <c r="F8" s="85"/>
      <c r="G8" s="89" t="s">
        <v>37</v>
      </c>
      <c r="H8" s="90">
        <f>SUM(E6:E25)</f>
        <v>25750</v>
      </c>
      <c r="I8" s="86"/>
      <c r="J8" s="106">
        <v>4</v>
      </c>
      <c r="K8" s="108" t="s">
        <v>105</v>
      </c>
      <c r="L8" s="108" t="s">
        <v>41</v>
      </c>
      <c r="M8" s="108" t="s">
        <v>96</v>
      </c>
      <c r="N8" s="109"/>
      <c r="O8" s="108">
        <v>1000</v>
      </c>
      <c r="P8" s="108"/>
      <c r="Q8" s="29" t="s">
        <v>37</v>
      </c>
      <c r="R8" s="30">
        <f>SUM(O6:O22)</f>
        <v>34100</v>
      </c>
      <c r="T8" s="1">
        <v>4</v>
      </c>
      <c r="U8" s="13" t="s">
        <v>101</v>
      </c>
      <c r="V8" s="13" t="s">
        <v>102</v>
      </c>
      <c r="W8" s="9"/>
      <c r="X8" s="9">
        <v>1250</v>
      </c>
      <c r="Y8" s="9">
        <v>1250</v>
      </c>
      <c r="Z8" s="26" t="s">
        <v>37</v>
      </c>
      <c r="AA8" s="27">
        <f>SUM(X5:X14)</f>
        <v>9550</v>
      </c>
      <c r="AC8" s="1">
        <v>4</v>
      </c>
      <c r="AD8" s="32" t="s">
        <v>33</v>
      </c>
      <c r="AE8" s="181" t="str">
        <f>AE7</f>
        <v>MATHS</v>
      </c>
      <c r="AF8" s="17">
        <v>46023</v>
      </c>
      <c r="AG8" s="25">
        <v>2000</v>
      </c>
      <c r="AH8" s="9"/>
      <c r="AI8" s="26" t="s">
        <v>37</v>
      </c>
      <c r="AJ8" s="27">
        <f t="shared" ref="AJ8" si="0">SUM(AG5:AG17)</f>
        <v>7000</v>
      </c>
    </row>
    <row r="9" spans="1:37" ht="12.75" customHeight="1" x14ac:dyDescent="0.2">
      <c r="A9" s="78">
        <v>5</v>
      </c>
      <c r="B9" s="87" t="s">
        <v>98</v>
      </c>
      <c r="C9" s="87" t="s">
        <v>99</v>
      </c>
      <c r="D9" s="85"/>
      <c r="E9" s="115">
        <v>1200</v>
      </c>
      <c r="F9" s="85"/>
      <c r="G9" s="89" t="s">
        <v>39</v>
      </c>
      <c r="H9" s="90">
        <f>SUM(F6:F25)</f>
        <v>3500</v>
      </c>
      <c r="I9" s="86"/>
      <c r="J9" s="106">
        <v>5</v>
      </c>
      <c r="K9" s="108" t="s">
        <v>94</v>
      </c>
      <c r="L9" s="108" t="s">
        <v>111</v>
      </c>
      <c r="M9" s="108" t="s">
        <v>112</v>
      </c>
      <c r="N9" s="108"/>
      <c r="O9" s="108">
        <v>1250</v>
      </c>
      <c r="P9" s="108"/>
      <c r="Q9" s="29" t="s">
        <v>39</v>
      </c>
      <c r="R9" s="30">
        <f>SUM(P6:P22)</f>
        <v>6500</v>
      </c>
      <c r="S9" s="48"/>
      <c r="T9" s="1">
        <v>5</v>
      </c>
      <c r="U9" s="13" t="s">
        <v>106</v>
      </c>
      <c r="V9" s="13" t="s">
        <v>18</v>
      </c>
      <c r="W9" s="9"/>
      <c r="X9" s="9">
        <v>1300</v>
      </c>
      <c r="Y9" s="9"/>
      <c r="Z9" s="26" t="s">
        <v>39</v>
      </c>
      <c r="AA9" s="27">
        <f>SUM(Y5:Y23)</f>
        <v>6250</v>
      </c>
      <c r="AC9" s="1">
        <v>5</v>
      </c>
      <c r="AD9" s="8" t="s">
        <v>107</v>
      </c>
      <c r="AE9" s="9" t="s">
        <v>67</v>
      </c>
      <c r="AF9" s="10" t="s">
        <v>108</v>
      </c>
      <c r="AG9" s="9">
        <v>2000</v>
      </c>
      <c r="AH9" s="9">
        <v>2000</v>
      </c>
      <c r="AI9" s="26" t="s">
        <v>39</v>
      </c>
      <c r="AJ9" s="27">
        <f t="shared" ref="AJ9" si="1">SUM(AH5:AH17)</f>
        <v>2000</v>
      </c>
    </row>
    <row r="10" spans="1:37" s="36" customFormat="1" ht="12.75" customHeight="1" x14ac:dyDescent="0.2">
      <c r="A10" s="92">
        <v>6</v>
      </c>
      <c r="B10" s="76" t="s">
        <v>103</v>
      </c>
      <c r="C10" s="76" t="s">
        <v>104</v>
      </c>
      <c r="D10" s="76"/>
      <c r="E10" s="115">
        <v>2500</v>
      </c>
      <c r="F10" s="85"/>
      <c r="G10" s="93"/>
      <c r="H10" s="93"/>
      <c r="I10" s="93"/>
      <c r="J10" s="106">
        <v>6</v>
      </c>
      <c r="K10" s="108" t="s">
        <v>97</v>
      </c>
      <c r="L10" s="108" t="s">
        <v>125</v>
      </c>
      <c r="M10" s="108" t="s">
        <v>115</v>
      </c>
      <c r="N10" s="108"/>
      <c r="O10" s="108">
        <v>500</v>
      </c>
      <c r="P10" s="108"/>
      <c r="Q10" s="39"/>
      <c r="R10" s="40"/>
      <c r="S10" s="35"/>
      <c r="T10" s="14">
        <v>6</v>
      </c>
      <c r="U10" s="35"/>
      <c r="V10" s="35"/>
      <c r="W10" s="35"/>
      <c r="X10" s="35"/>
      <c r="Y10" s="181"/>
      <c r="Z10" s="41" t="s">
        <v>45</v>
      </c>
      <c r="AA10" s="42">
        <f>SUM(Y5:Y11)</f>
        <v>6250</v>
      </c>
      <c r="AC10" s="34">
        <v>6</v>
      </c>
      <c r="AD10" s="8"/>
      <c r="AE10" s="35"/>
      <c r="AF10" s="43"/>
      <c r="AG10" s="181"/>
      <c r="AH10" s="181"/>
      <c r="AI10" s="35"/>
      <c r="AJ10" s="35"/>
    </row>
    <row r="11" spans="1:37" ht="12.75" customHeight="1" x14ac:dyDescent="0.2">
      <c r="A11" s="78">
        <v>7</v>
      </c>
      <c r="B11" s="76" t="s">
        <v>109</v>
      </c>
      <c r="C11" s="76" t="s">
        <v>110</v>
      </c>
      <c r="D11" s="76"/>
      <c r="E11" s="76">
        <v>2000</v>
      </c>
      <c r="F11" s="85"/>
      <c r="G11" s="76"/>
      <c r="H11" s="76"/>
      <c r="I11" s="76"/>
      <c r="J11" s="106">
        <v>7</v>
      </c>
      <c r="K11" s="108" t="s">
        <v>164</v>
      </c>
      <c r="L11" s="108" t="s">
        <v>117</v>
      </c>
      <c r="M11" s="108" t="s">
        <v>91</v>
      </c>
      <c r="N11" s="108"/>
      <c r="O11" s="108">
        <v>1250</v>
      </c>
      <c r="P11" s="108"/>
      <c r="Q11" s="44"/>
      <c r="R11" s="45"/>
      <c r="S11" s="8"/>
      <c r="T11" s="14">
        <v>7</v>
      </c>
      <c r="U11" s="13"/>
      <c r="V11" s="13"/>
      <c r="W11" s="9"/>
      <c r="X11" s="9"/>
      <c r="Y11" s="9"/>
      <c r="Z11" s="8"/>
      <c r="AA11" s="8"/>
      <c r="AC11" s="1">
        <v>7</v>
      </c>
      <c r="AD11" s="8"/>
      <c r="AE11" s="8"/>
      <c r="AF11" s="10"/>
      <c r="AG11" s="9"/>
      <c r="AH11" s="9"/>
      <c r="AI11" s="8"/>
      <c r="AJ11" s="8"/>
    </row>
    <row r="12" spans="1:37" ht="12.75" customHeight="1" x14ac:dyDescent="0.2">
      <c r="A12" s="78">
        <v>8</v>
      </c>
      <c r="B12" s="76" t="s">
        <v>113</v>
      </c>
      <c r="C12" s="76" t="s">
        <v>114</v>
      </c>
      <c r="D12" s="76"/>
      <c r="E12" s="76">
        <v>1000</v>
      </c>
      <c r="F12" s="85"/>
      <c r="G12" s="330" t="s">
        <v>46</v>
      </c>
      <c r="H12" s="330"/>
      <c r="I12" s="86"/>
      <c r="J12" s="106">
        <v>8</v>
      </c>
      <c r="K12" s="111" t="s">
        <v>165</v>
      </c>
      <c r="L12" s="111" t="s">
        <v>121</v>
      </c>
      <c r="M12" s="111" t="s">
        <v>96</v>
      </c>
      <c r="N12" s="110"/>
      <c r="O12" s="112">
        <v>1000</v>
      </c>
      <c r="P12" s="108"/>
      <c r="Q12" s="310" t="s">
        <v>46</v>
      </c>
      <c r="R12" s="311"/>
      <c r="T12" s="1">
        <v>8</v>
      </c>
      <c r="U12" s="8"/>
      <c r="V12" s="8"/>
      <c r="W12" s="8"/>
      <c r="X12" s="8"/>
      <c r="Y12" s="9"/>
      <c r="Z12" s="309" t="s">
        <v>46</v>
      </c>
      <c r="AA12" s="309"/>
      <c r="AC12" s="1">
        <v>8</v>
      </c>
      <c r="AD12" s="8"/>
      <c r="AE12" s="8"/>
      <c r="AF12" s="10"/>
      <c r="AG12" s="9"/>
      <c r="AH12" s="9"/>
      <c r="AI12" s="309" t="s">
        <v>46</v>
      </c>
      <c r="AJ12" s="309"/>
    </row>
    <row r="13" spans="1:37" ht="12.75" customHeight="1" x14ac:dyDescent="0.2">
      <c r="A13" s="78">
        <v>9</v>
      </c>
      <c r="B13" s="76" t="s">
        <v>116</v>
      </c>
      <c r="C13" s="76" t="s">
        <v>110</v>
      </c>
      <c r="D13" s="76"/>
      <c r="E13" s="76">
        <v>2000</v>
      </c>
      <c r="F13" s="85"/>
      <c r="G13" s="330"/>
      <c r="H13" s="330"/>
      <c r="I13" s="86"/>
      <c r="J13" s="106">
        <v>9</v>
      </c>
      <c r="K13" s="108" t="s">
        <v>166</v>
      </c>
      <c r="L13" s="113" t="s">
        <v>129</v>
      </c>
      <c r="M13" s="113"/>
      <c r="N13" s="108"/>
      <c r="O13" s="108">
        <v>2100</v>
      </c>
      <c r="P13" s="108"/>
      <c r="Q13" s="309"/>
      <c r="R13" s="311"/>
      <c r="T13" s="1">
        <v>9</v>
      </c>
      <c r="U13" s="8"/>
      <c r="V13" s="8"/>
      <c r="W13" s="8"/>
      <c r="X13" s="8"/>
      <c r="Y13" s="9"/>
      <c r="Z13" s="309"/>
      <c r="AA13" s="309"/>
      <c r="AC13" s="1">
        <v>9</v>
      </c>
      <c r="AD13" s="8"/>
      <c r="AE13" s="13"/>
      <c r="AF13" s="9"/>
      <c r="AG13" s="9"/>
      <c r="AH13" s="9"/>
      <c r="AI13" s="309"/>
      <c r="AJ13" s="309"/>
    </row>
    <row r="14" spans="1:37" ht="12.75" customHeight="1" x14ac:dyDescent="0.2">
      <c r="A14" s="78">
        <v>1</v>
      </c>
      <c r="B14" s="76" t="s">
        <v>118</v>
      </c>
      <c r="C14" s="76" t="s">
        <v>119</v>
      </c>
      <c r="D14" s="76"/>
      <c r="E14" s="76">
        <v>1600</v>
      </c>
      <c r="F14" s="85"/>
      <c r="G14" s="326">
        <f>H9*70/100</f>
        <v>2450</v>
      </c>
      <c r="H14" s="327"/>
      <c r="I14" s="86"/>
      <c r="J14" s="106">
        <v>10</v>
      </c>
      <c r="K14" s="108" t="s">
        <v>167</v>
      </c>
      <c r="L14" s="108" t="s">
        <v>133</v>
      </c>
      <c r="M14" s="108"/>
      <c r="N14" s="108"/>
      <c r="O14" s="108">
        <v>3000</v>
      </c>
      <c r="P14" s="108"/>
      <c r="Q14" s="316">
        <f>R9*70/100</f>
        <v>4550</v>
      </c>
      <c r="R14" s="317"/>
      <c r="T14" s="1">
        <v>10</v>
      </c>
      <c r="U14" s="8"/>
      <c r="V14" s="8"/>
      <c r="W14" s="8"/>
      <c r="X14" s="8"/>
      <c r="Y14" s="9"/>
      <c r="Z14" s="316">
        <f>AA9*70/100</f>
        <v>4375</v>
      </c>
      <c r="AA14" s="316"/>
      <c r="AC14" s="1"/>
      <c r="AD14" s="8"/>
      <c r="AE14" s="8"/>
      <c r="AF14" s="9"/>
      <c r="AG14" s="9"/>
      <c r="AH14" s="9"/>
      <c r="AI14" s="312">
        <f t="shared" ref="AI14" si="2">AJ9*70/100</f>
        <v>1400</v>
      </c>
      <c r="AJ14" s="313"/>
    </row>
    <row r="15" spans="1:37" ht="12.75" customHeight="1" x14ac:dyDescent="0.2">
      <c r="A15" s="78">
        <v>11</v>
      </c>
      <c r="B15" s="76" t="s">
        <v>123</v>
      </c>
      <c r="C15" s="76" t="s">
        <v>124</v>
      </c>
      <c r="D15" s="76"/>
      <c r="E15" s="76">
        <v>1500</v>
      </c>
      <c r="F15" s="85"/>
      <c r="G15" s="328"/>
      <c r="H15" s="329"/>
      <c r="I15" s="86"/>
      <c r="J15" s="106">
        <v>11</v>
      </c>
      <c r="K15" s="108" t="s">
        <v>168</v>
      </c>
      <c r="L15" s="108" t="s">
        <v>117</v>
      </c>
      <c r="M15" s="108" t="s">
        <v>115</v>
      </c>
      <c r="N15" s="108"/>
      <c r="O15" s="108">
        <v>1300</v>
      </c>
      <c r="P15" s="108"/>
      <c r="Q15" s="316"/>
      <c r="R15" s="317"/>
      <c r="T15" s="1">
        <v>11</v>
      </c>
      <c r="U15" s="8"/>
      <c r="V15" s="8"/>
      <c r="W15" s="8"/>
      <c r="X15" s="8"/>
      <c r="Y15" s="9"/>
      <c r="Z15" s="316"/>
      <c r="AA15" s="316"/>
      <c r="AC15" s="1"/>
      <c r="AD15" s="1"/>
      <c r="AE15" s="8"/>
      <c r="AF15" s="9"/>
      <c r="AG15" s="8"/>
      <c r="AH15" s="9"/>
      <c r="AI15" s="314"/>
      <c r="AJ15" s="315"/>
    </row>
    <row r="16" spans="1:37" ht="12.75" customHeight="1" x14ac:dyDescent="0.2">
      <c r="A16" s="78">
        <v>12</v>
      </c>
      <c r="B16" s="76" t="s">
        <v>126</v>
      </c>
      <c r="C16" s="76" t="s">
        <v>127</v>
      </c>
      <c r="D16" s="76"/>
      <c r="E16" s="76">
        <v>1000</v>
      </c>
      <c r="F16" s="85"/>
      <c r="G16" s="76"/>
      <c r="H16" s="76"/>
      <c r="I16" s="76"/>
      <c r="J16" s="106">
        <v>12</v>
      </c>
      <c r="K16" s="108" t="s">
        <v>169</v>
      </c>
      <c r="L16" s="108" t="s">
        <v>134</v>
      </c>
      <c r="M16" s="108"/>
      <c r="N16" s="108"/>
      <c r="O16" s="108">
        <v>3000</v>
      </c>
      <c r="P16" s="108"/>
      <c r="Q16" s="8"/>
      <c r="R16" s="98"/>
      <c r="S16" s="8"/>
      <c r="T16" s="14">
        <v>12</v>
      </c>
      <c r="U16" s="8"/>
      <c r="V16" s="8"/>
      <c r="W16" s="8"/>
      <c r="X16" s="8"/>
      <c r="Y16" s="9"/>
      <c r="Z16" s="8"/>
      <c r="AA16" s="8"/>
      <c r="AC16" s="1"/>
      <c r="AD16" s="13"/>
      <c r="AE16" s="13"/>
      <c r="AF16" s="9"/>
      <c r="AG16" s="9"/>
      <c r="AH16" s="9"/>
      <c r="AI16" s="8"/>
      <c r="AJ16" s="8"/>
    </row>
    <row r="17" spans="1:36" ht="12.75" customHeight="1" x14ac:dyDescent="0.2">
      <c r="A17" s="78">
        <v>13</v>
      </c>
      <c r="B17" s="76" t="s">
        <v>106</v>
      </c>
      <c r="C17" s="76" t="s">
        <v>99</v>
      </c>
      <c r="D17" s="76"/>
      <c r="E17" s="76">
        <v>1300</v>
      </c>
      <c r="F17" s="85"/>
      <c r="G17" s="76"/>
      <c r="H17" s="76"/>
      <c r="I17" s="76"/>
      <c r="J17" s="106">
        <v>13</v>
      </c>
      <c r="K17" s="108" t="s">
        <v>135</v>
      </c>
      <c r="L17" s="108" t="s">
        <v>136</v>
      </c>
      <c r="M17" s="108"/>
      <c r="N17" s="108"/>
      <c r="O17" s="108">
        <v>1500</v>
      </c>
      <c r="P17" s="108"/>
      <c r="Q17" s="45"/>
      <c r="R17" s="8"/>
      <c r="S17" s="8"/>
      <c r="T17" s="14">
        <v>13</v>
      </c>
      <c r="U17" s="8"/>
      <c r="V17" s="8"/>
      <c r="W17" s="8"/>
      <c r="X17" s="8"/>
      <c r="Y17" s="9"/>
      <c r="Z17" s="8"/>
      <c r="AA17" s="8"/>
      <c r="AC17" s="1"/>
      <c r="AD17" s="13"/>
      <c r="AE17" s="13"/>
      <c r="AF17" s="9"/>
      <c r="AG17" s="9"/>
      <c r="AH17" s="9"/>
      <c r="AI17" s="8"/>
      <c r="AJ17" s="8"/>
    </row>
    <row r="18" spans="1:36" ht="12.75" customHeight="1" x14ac:dyDescent="0.2">
      <c r="A18" s="78">
        <v>14</v>
      </c>
      <c r="B18" s="76" t="s">
        <v>128</v>
      </c>
      <c r="C18" s="76" t="s">
        <v>127</v>
      </c>
      <c r="D18" s="76"/>
      <c r="E18" s="76">
        <v>700</v>
      </c>
      <c r="F18" s="85"/>
      <c r="G18" s="330" t="s">
        <v>47</v>
      </c>
      <c r="H18" s="330"/>
      <c r="I18" s="86"/>
      <c r="J18" s="106">
        <v>14</v>
      </c>
      <c r="K18" s="108" t="s">
        <v>137</v>
      </c>
      <c r="L18" s="108" t="s">
        <v>138</v>
      </c>
      <c r="M18" s="108"/>
      <c r="N18" s="108"/>
      <c r="O18" s="108">
        <v>2100</v>
      </c>
      <c r="P18" s="108"/>
      <c r="Q18" s="309" t="s">
        <v>47</v>
      </c>
      <c r="R18" s="320"/>
      <c r="T18" s="1">
        <v>14</v>
      </c>
      <c r="U18" s="8"/>
      <c r="V18" s="8"/>
      <c r="W18" s="8"/>
      <c r="X18" s="8"/>
      <c r="Y18" s="9"/>
      <c r="Z18" s="309" t="s">
        <v>47</v>
      </c>
      <c r="AA18" s="309"/>
      <c r="AC18" s="1"/>
      <c r="AD18" s="8"/>
      <c r="AE18" s="8"/>
      <c r="AF18" s="8"/>
      <c r="AG18" s="8"/>
      <c r="AH18" s="9"/>
      <c r="AI18" s="309" t="s">
        <v>47</v>
      </c>
      <c r="AJ18" s="309"/>
    </row>
    <row r="19" spans="1:36" ht="12.75" customHeight="1" x14ac:dyDescent="0.2">
      <c r="A19" s="78">
        <v>15</v>
      </c>
      <c r="B19" s="76" t="s">
        <v>113</v>
      </c>
      <c r="C19" s="76" t="s">
        <v>127</v>
      </c>
      <c r="D19" s="85"/>
      <c r="E19" s="115">
        <v>700</v>
      </c>
      <c r="F19" s="85"/>
      <c r="G19" s="330"/>
      <c r="H19" s="330"/>
      <c r="I19" s="86"/>
      <c r="J19" s="106">
        <v>15</v>
      </c>
      <c r="K19" s="113" t="s">
        <v>140</v>
      </c>
      <c r="L19" s="113" t="s">
        <v>141</v>
      </c>
      <c r="M19" s="113" t="s">
        <v>112</v>
      </c>
      <c r="N19" s="113"/>
      <c r="O19" s="113">
        <v>4500</v>
      </c>
      <c r="P19" s="107">
        <v>2000</v>
      </c>
      <c r="Q19" s="309"/>
      <c r="R19" s="311"/>
      <c r="T19" s="1">
        <v>15</v>
      </c>
      <c r="U19" s="8"/>
      <c r="V19" s="8"/>
      <c r="W19" s="8"/>
      <c r="X19" s="8"/>
      <c r="Y19" s="9"/>
      <c r="Z19" s="309"/>
      <c r="AA19" s="309"/>
      <c r="AC19" s="1"/>
      <c r="AD19" s="8"/>
      <c r="AE19" s="8"/>
      <c r="AF19" s="8"/>
      <c r="AG19" s="8"/>
      <c r="AH19" s="9"/>
      <c r="AI19" s="309"/>
      <c r="AJ19" s="309"/>
    </row>
    <row r="20" spans="1:36" ht="12.75" customHeight="1" x14ac:dyDescent="0.2">
      <c r="A20" s="78">
        <v>16</v>
      </c>
      <c r="B20" s="87" t="s">
        <v>170</v>
      </c>
      <c r="C20" s="87"/>
      <c r="D20" s="85"/>
      <c r="E20" s="115">
        <v>1500</v>
      </c>
      <c r="F20" s="85">
        <v>1500</v>
      </c>
      <c r="G20" s="324">
        <f>H9*30/100</f>
        <v>1050</v>
      </c>
      <c r="H20" s="324"/>
      <c r="I20" s="86"/>
      <c r="J20" s="106">
        <v>16</v>
      </c>
      <c r="K20" s="108" t="s">
        <v>84</v>
      </c>
      <c r="L20" s="108" t="s">
        <v>142</v>
      </c>
      <c r="M20" s="108"/>
      <c r="N20" s="108"/>
      <c r="O20" s="108">
        <v>2100</v>
      </c>
      <c r="P20" s="108"/>
      <c r="Q20" s="316">
        <f>R9*30/100</f>
        <v>1950</v>
      </c>
      <c r="R20" s="316"/>
      <c r="T20" s="1">
        <v>16</v>
      </c>
      <c r="U20" s="8"/>
      <c r="V20" s="8"/>
      <c r="W20" s="8"/>
      <c r="X20" s="8"/>
      <c r="Y20" s="9"/>
      <c r="Z20" s="316">
        <f>AA9*30/100</f>
        <v>1875</v>
      </c>
      <c r="AA20" s="316"/>
      <c r="AC20" s="1"/>
      <c r="AD20" s="8"/>
      <c r="AE20" s="8"/>
      <c r="AF20" s="8"/>
      <c r="AG20" s="8"/>
      <c r="AH20" s="9"/>
      <c r="AI20" s="316">
        <f t="shared" ref="AI20" si="3">AJ9*30/100</f>
        <v>600</v>
      </c>
      <c r="AJ20" s="316"/>
    </row>
    <row r="21" spans="1:36" ht="12.75" customHeight="1" x14ac:dyDescent="0.2">
      <c r="A21" s="78"/>
      <c r="B21" s="87"/>
      <c r="C21" s="87"/>
      <c r="D21" s="85"/>
      <c r="E21" s="80"/>
      <c r="F21" s="85"/>
      <c r="G21" s="324"/>
      <c r="H21" s="324"/>
      <c r="I21" s="86"/>
      <c r="J21" s="106">
        <v>17</v>
      </c>
      <c r="K21" s="108" t="s">
        <v>143</v>
      </c>
      <c r="L21" s="108" t="s">
        <v>125</v>
      </c>
      <c r="M21" s="108"/>
      <c r="N21" s="108"/>
      <c r="O21" s="108">
        <v>1500</v>
      </c>
      <c r="P21" s="107">
        <v>1500</v>
      </c>
      <c r="Q21" s="316"/>
      <c r="R21" s="316"/>
      <c r="T21" s="1">
        <v>17</v>
      </c>
      <c r="U21" s="8"/>
      <c r="V21" s="8"/>
      <c r="W21" s="8"/>
      <c r="X21" s="8"/>
      <c r="Y21" s="9"/>
      <c r="Z21" s="316"/>
      <c r="AA21" s="316"/>
      <c r="AC21" s="1"/>
      <c r="AD21" s="8"/>
      <c r="AE21" s="8"/>
      <c r="AF21" s="8"/>
      <c r="AG21" s="8"/>
      <c r="AH21" s="9"/>
      <c r="AI21" s="316"/>
      <c r="AJ21" s="316"/>
    </row>
    <row r="22" spans="1:36" ht="12.75" customHeight="1" x14ac:dyDescent="0.2">
      <c r="A22" s="78"/>
      <c r="F22" s="85"/>
      <c r="G22" s="76"/>
      <c r="H22" s="76"/>
      <c r="I22" s="102"/>
      <c r="J22" s="106">
        <v>18</v>
      </c>
      <c r="K22" s="108"/>
      <c r="L22" s="108"/>
      <c r="M22" s="108"/>
      <c r="N22" s="108"/>
      <c r="O22" s="108"/>
      <c r="P22" s="108"/>
      <c r="Q22" s="8"/>
      <c r="R22" s="8"/>
      <c r="S22" s="44"/>
      <c r="T22" s="14">
        <v>18</v>
      </c>
      <c r="U22" s="8"/>
      <c r="V22" s="8"/>
      <c r="W22" s="8"/>
      <c r="X22" s="8"/>
      <c r="Y22" s="9"/>
      <c r="Z22" s="8"/>
      <c r="AA22" s="8"/>
      <c r="AB22" s="3">
        <v>5000</v>
      </c>
      <c r="AC22" s="1"/>
      <c r="AD22" s="8"/>
      <c r="AE22" s="8"/>
      <c r="AF22" s="8"/>
      <c r="AG22" s="8"/>
      <c r="AH22" s="9"/>
      <c r="AI22" s="8"/>
      <c r="AJ22" s="8"/>
    </row>
    <row r="23" spans="1:36" ht="12.75" customHeight="1" x14ac:dyDescent="0.2">
      <c r="A23" s="78"/>
      <c r="B23" s="8"/>
      <c r="C23" s="8"/>
      <c r="D23" s="9"/>
      <c r="E23" s="9"/>
      <c r="F23" s="9"/>
      <c r="G23" s="76"/>
      <c r="H23" s="76"/>
      <c r="I23" s="102"/>
      <c r="J23" s="106">
        <v>19</v>
      </c>
      <c r="K23" s="108"/>
      <c r="L23" s="108"/>
      <c r="M23" s="108"/>
      <c r="N23" s="108"/>
      <c r="O23" s="108"/>
      <c r="P23" s="108"/>
      <c r="Q23" s="8"/>
      <c r="R23" s="8"/>
      <c r="S23" s="44"/>
      <c r="T23" s="14">
        <v>19</v>
      </c>
      <c r="U23" s="13"/>
      <c r="V23" s="13"/>
      <c r="W23" s="9"/>
      <c r="X23" s="181"/>
      <c r="Y23" s="9"/>
      <c r="Z23" s="8"/>
      <c r="AA23" s="8"/>
      <c r="AB23" s="3">
        <v>3000</v>
      </c>
      <c r="AC23" s="1"/>
      <c r="AD23" s="8"/>
      <c r="AE23" s="8"/>
      <c r="AF23" s="8"/>
      <c r="AG23" s="8"/>
      <c r="AH23" s="9"/>
      <c r="AI23" s="8"/>
      <c r="AJ23" s="8"/>
    </row>
    <row r="24" spans="1:36" ht="12.75" customHeight="1" x14ac:dyDescent="0.2">
      <c r="A24" s="85"/>
      <c r="B24" s="8"/>
      <c r="C24" s="8"/>
      <c r="D24" s="9"/>
      <c r="E24" s="9"/>
      <c r="F24" s="9"/>
      <c r="G24" s="325" t="s">
        <v>24</v>
      </c>
      <c r="H24" s="325"/>
      <c r="I24" s="86"/>
      <c r="J24" s="106">
        <v>20</v>
      </c>
      <c r="K24" s="108"/>
      <c r="L24" s="108"/>
      <c r="M24" s="108"/>
      <c r="N24" s="108"/>
      <c r="O24" s="108"/>
      <c r="P24" s="108"/>
      <c r="Q24" s="307" t="s">
        <v>24</v>
      </c>
      <c r="R24" s="307"/>
      <c r="S24" s="3">
        <v>4000</v>
      </c>
      <c r="T24" s="1">
        <v>20</v>
      </c>
      <c r="U24" s="13"/>
      <c r="V24" s="13"/>
      <c r="W24" s="9"/>
      <c r="X24" s="9"/>
      <c r="Y24" s="9"/>
      <c r="Z24" s="307" t="s">
        <v>24</v>
      </c>
      <c r="AA24" s="307"/>
      <c r="AC24" s="9"/>
      <c r="AD24" s="8"/>
      <c r="AE24" s="8"/>
      <c r="AF24" s="8"/>
      <c r="AG24" s="8"/>
      <c r="AH24" s="9"/>
      <c r="AI24" s="307" t="s">
        <v>24</v>
      </c>
      <c r="AJ24" s="307"/>
    </row>
    <row r="25" spans="1:36" ht="12.75" customHeight="1" x14ac:dyDescent="0.2">
      <c r="A25" s="85"/>
      <c r="B25" s="8"/>
      <c r="C25" s="8"/>
      <c r="D25" s="9"/>
      <c r="E25" s="9"/>
      <c r="F25" s="9"/>
      <c r="G25" s="325"/>
      <c r="H25" s="325"/>
      <c r="I25" s="86"/>
      <c r="J25" s="106">
        <v>21</v>
      </c>
      <c r="K25" s="107"/>
      <c r="L25" s="107"/>
      <c r="M25" s="107"/>
      <c r="N25" s="107"/>
      <c r="O25" s="107"/>
      <c r="P25" s="107"/>
      <c r="Q25" s="307"/>
      <c r="R25" s="307"/>
      <c r="T25" s="1">
        <v>21</v>
      </c>
      <c r="U25" s="8"/>
      <c r="V25" s="8"/>
      <c r="W25" s="9"/>
      <c r="X25" s="9"/>
      <c r="Y25" s="9"/>
      <c r="Z25" s="307"/>
      <c r="AA25" s="307"/>
      <c r="AC25" s="9"/>
      <c r="AD25" s="8"/>
      <c r="AE25" s="8"/>
      <c r="AF25" s="8"/>
      <c r="AG25" s="8"/>
      <c r="AH25" s="9"/>
      <c r="AI25" s="307"/>
      <c r="AJ25" s="307"/>
    </row>
    <row r="26" spans="1:36" ht="12.75" customHeight="1" x14ac:dyDescent="0.2">
      <c r="A26" s="9"/>
      <c r="G26" s="316">
        <f>G14+G20</f>
        <v>3500</v>
      </c>
      <c r="H26" s="316"/>
      <c r="J26" s="106">
        <v>22</v>
      </c>
      <c r="K26" s="108"/>
      <c r="L26" s="108"/>
      <c r="M26" s="108"/>
      <c r="N26" s="108"/>
      <c r="O26" s="108"/>
      <c r="P26" s="108"/>
      <c r="Q26" s="316">
        <f>Q14+Q20</f>
        <v>6500</v>
      </c>
      <c r="R26" s="316"/>
      <c r="T26" s="1">
        <v>22</v>
      </c>
      <c r="U26" s="8"/>
      <c r="V26" s="8"/>
      <c r="W26" s="9"/>
      <c r="X26" s="9"/>
      <c r="Y26" s="9"/>
      <c r="Z26" s="316">
        <f>Z14+Z20</f>
        <v>6250</v>
      </c>
      <c r="AA26" s="316"/>
      <c r="AC26" s="9"/>
      <c r="AD26" s="8"/>
      <c r="AE26" s="8"/>
      <c r="AF26" s="8"/>
      <c r="AG26" s="8"/>
      <c r="AH26" s="9"/>
      <c r="AI26" s="316">
        <f t="shared" ref="AI26" si="4">AI14+AI20</f>
        <v>2000</v>
      </c>
      <c r="AJ26" s="316"/>
    </row>
    <row r="27" spans="1:36" ht="12.75" customHeight="1" x14ac:dyDescent="0.2">
      <c r="A27" s="8"/>
      <c r="G27" s="316"/>
      <c r="H27" s="316"/>
      <c r="J27" s="8"/>
      <c r="K27" s="8"/>
      <c r="L27" s="8"/>
      <c r="M27" s="8"/>
      <c r="N27" s="8"/>
      <c r="O27" s="8"/>
      <c r="P27" s="8"/>
      <c r="Q27" s="316"/>
      <c r="R27" s="316"/>
      <c r="T27" s="1">
        <v>23</v>
      </c>
      <c r="U27" s="8"/>
      <c r="V27" s="8"/>
      <c r="W27" s="9"/>
      <c r="X27" s="9"/>
      <c r="Y27" s="8"/>
      <c r="Z27" s="316"/>
      <c r="AA27" s="316"/>
      <c r="AC27" s="8"/>
      <c r="AD27" s="8"/>
      <c r="AE27" s="8"/>
      <c r="AF27" s="8"/>
      <c r="AG27" s="8"/>
      <c r="AH27" s="9"/>
      <c r="AI27" s="316"/>
      <c r="AJ27" s="316"/>
    </row>
    <row r="28" spans="1:36" ht="12.75" customHeight="1" x14ac:dyDescent="0.2">
      <c r="A28" s="8"/>
      <c r="G28" s="8"/>
      <c r="H28" s="8"/>
      <c r="I28" s="45"/>
      <c r="J28" s="8"/>
      <c r="K28" s="8"/>
      <c r="L28" s="8"/>
      <c r="M28" s="8"/>
      <c r="N28" s="8"/>
      <c r="O28" s="8"/>
      <c r="P28" s="8"/>
      <c r="Q28" s="8"/>
      <c r="R28" s="8"/>
      <c r="S28" s="44"/>
      <c r="T28" s="14">
        <v>24</v>
      </c>
      <c r="U28" s="8"/>
      <c r="V28" s="8"/>
      <c r="W28" s="8"/>
      <c r="X28" s="8"/>
      <c r="Y28" s="8"/>
      <c r="Z28" s="8"/>
      <c r="AA28" s="8"/>
      <c r="AC28" s="8"/>
      <c r="AD28" s="8"/>
      <c r="AE28" s="8"/>
      <c r="AF28" s="8"/>
      <c r="AG28" s="8"/>
      <c r="AH28" s="9"/>
      <c r="AI28" s="8"/>
      <c r="AJ28" s="8"/>
    </row>
    <row r="29" spans="1:36" ht="12.75" customHeight="1" x14ac:dyDescent="0.2">
      <c r="A29" s="8"/>
      <c r="G29" s="318" t="s">
        <v>48</v>
      </c>
      <c r="H29" s="319"/>
      <c r="J29" s="8"/>
      <c r="K29" s="8"/>
      <c r="L29" s="8"/>
      <c r="M29" s="8"/>
      <c r="N29" s="8"/>
      <c r="O29" s="8"/>
      <c r="P29" s="8"/>
      <c r="Q29" s="309" t="s">
        <v>48</v>
      </c>
      <c r="R29" s="309"/>
      <c r="T29" s="8"/>
      <c r="U29" s="8"/>
      <c r="V29" s="8"/>
      <c r="W29" s="8"/>
      <c r="X29" s="8"/>
      <c r="Y29" s="8"/>
      <c r="Z29" s="318" t="s">
        <v>48</v>
      </c>
      <c r="AA29" s="319"/>
      <c r="AC29" s="8"/>
      <c r="AD29" s="8"/>
      <c r="AE29" s="8"/>
      <c r="AF29" s="9"/>
      <c r="AG29" s="9"/>
      <c r="AH29" s="9"/>
      <c r="AI29" s="318" t="s">
        <v>48</v>
      </c>
      <c r="AJ29" s="319"/>
    </row>
    <row r="30" spans="1:36" ht="12.75" customHeight="1" x14ac:dyDescent="0.2">
      <c r="A30" s="8"/>
      <c r="G30" s="320"/>
      <c r="H30" s="321"/>
      <c r="Q30" s="309"/>
      <c r="R30" s="309"/>
      <c r="T30" s="8"/>
      <c r="U30" s="8"/>
      <c r="V30" s="8"/>
      <c r="W30" s="8"/>
      <c r="X30" s="8"/>
      <c r="Y30" s="8"/>
      <c r="Z30" s="320"/>
      <c r="AA30" s="321"/>
      <c r="AC30" s="8"/>
      <c r="AD30" s="13"/>
      <c r="AE30" s="13"/>
      <c r="AF30" s="9"/>
      <c r="AG30" s="9"/>
      <c r="AH30" s="9"/>
      <c r="AI30" s="320"/>
      <c r="AJ30" s="321"/>
    </row>
    <row r="31" spans="1:36" ht="12.75" customHeight="1" x14ac:dyDescent="0.2">
      <c r="A31" s="8"/>
      <c r="G31" s="316">
        <f>I29</f>
        <v>0</v>
      </c>
      <c r="H31" s="316"/>
      <c r="J31" s="64"/>
      <c r="K31" s="291" t="s">
        <v>50</v>
      </c>
      <c r="L31" s="292"/>
      <c r="M31" s="68"/>
      <c r="Q31" s="316">
        <v>4000</v>
      </c>
      <c r="R31" s="316"/>
      <c r="T31" s="8"/>
      <c r="U31" s="8"/>
      <c r="V31" s="8"/>
      <c r="W31" s="8"/>
      <c r="X31" s="8"/>
      <c r="Y31" s="8"/>
      <c r="Z31" s="316">
        <v>2500</v>
      </c>
      <c r="AA31" s="316"/>
      <c r="AC31" s="8"/>
      <c r="AD31" s="8"/>
      <c r="AE31" s="8"/>
      <c r="AF31" s="8"/>
      <c r="AG31" s="8"/>
      <c r="AH31" s="9"/>
      <c r="AI31" s="316">
        <v>0</v>
      </c>
      <c r="AJ31" s="316"/>
    </row>
    <row r="32" spans="1:36" ht="12.75" customHeight="1" x14ac:dyDescent="0.2">
      <c r="A32" s="8"/>
      <c r="G32" s="316"/>
      <c r="H32" s="316"/>
      <c r="J32" s="64"/>
      <c r="K32" s="293"/>
      <c r="L32" s="294"/>
      <c r="M32" s="68"/>
      <c r="Q32" s="316"/>
      <c r="R32" s="316"/>
      <c r="T32" s="8"/>
      <c r="U32" s="8"/>
      <c r="V32" s="8"/>
      <c r="W32" s="8"/>
      <c r="X32" s="8"/>
      <c r="Y32" s="8"/>
      <c r="Z32" s="316"/>
      <c r="AA32" s="316"/>
      <c r="AC32" s="8"/>
      <c r="AD32" s="13"/>
      <c r="AE32" s="13"/>
      <c r="AF32" s="9"/>
      <c r="AG32" s="181"/>
      <c r="AH32" s="9"/>
      <c r="AI32" s="316"/>
      <c r="AJ32" s="316"/>
    </row>
    <row r="33" spans="1:42" ht="12.75" customHeight="1" x14ac:dyDescent="0.2">
      <c r="A33" s="8"/>
      <c r="G33" s="8"/>
      <c r="H33" s="8"/>
      <c r="I33" s="45"/>
      <c r="J33" s="64"/>
      <c r="K33" s="307" t="s">
        <v>24</v>
      </c>
      <c r="L33" s="307"/>
      <c r="M33" s="69"/>
      <c r="Q33" s="8"/>
      <c r="R33" s="8"/>
      <c r="S33" s="44"/>
      <c r="Z33" s="46"/>
      <c r="AA33" s="46"/>
      <c r="AC33" s="8"/>
      <c r="AD33" s="13"/>
      <c r="AE33" s="13"/>
      <c r="AF33" s="9"/>
      <c r="AG33" s="9"/>
      <c r="AH33" s="9"/>
      <c r="AI33" s="8"/>
      <c r="AJ33" s="8"/>
    </row>
    <row r="34" spans="1:42" ht="12.75" customHeight="1" x14ac:dyDescent="0.2">
      <c r="A34" s="8"/>
      <c r="G34" s="309" t="s">
        <v>49</v>
      </c>
      <c r="H34" s="309"/>
      <c r="J34" s="5" t="s">
        <v>4</v>
      </c>
      <c r="K34" s="307"/>
      <c r="L34" s="307"/>
      <c r="M34" s="69"/>
      <c r="Q34" s="309" t="s">
        <v>49</v>
      </c>
      <c r="R34" s="309"/>
      <c r="Z34" s="309" t="s">
        <v>49</v>
      </c>
      <c r="AA34" s="309"/>
      <c r="AC34" s="8"/>
      <c r="AD34" s="8"/>
      <c r="AE34" s="8"/>
      <c r="AF34" s="9"/>
      <c r="AG34" s="9"/>
      <c r="AH34" s="9"/>
      <c r="AI34" s="309" t="s">
        <v>49</v>
      </c>
      <c r="AJ34" s="309"/>
    </row>
    <row r="35" spans="1:42" ht="12.75" customHeight="1" x14ac:dyDescent="0.2">
      <c r="A35" s="8"/>
      <c r="G35" s="309"/>
      <c r="H35" s="309"/>
      <c r="J35" s="8"/>
      <c r="K35" s="26" t="s">
        <v>37</v>
      </c>
      <c r="L35" s="27">
        <f>SUM(E43:E55)</f>
        <v>31700</v>
      </c>
      <c r="M35" s="70"/>
      <c r="Q35" s="309"/>
      <c r="R35" s="309"/>
      <c r="Z35" s="309"/>
      <c r="AA35" s="309"/>
      <c r="AC35" s="8"/>
      <c r="AD35" s="8"/>
      <c r="AE35" s="8"/>
      <c r="AF35" s="9"/>
      <c r="AG35" s="9"/>
      <c r="AH35" s="9"/>
      <c r="AI35" s="309"/>
      <c r="AJ35" s="309"/>
    </row>
    <row r="36" spans="1:42" ht="12.75" customHeight="1" x14ac:dyDescent="0.2">
      <c r="A36" s="8"/>
      <c r="B36" s="182"/>
      <c r="C36" s="182"/>
      <c r="D36" s="182"/>
      <c r="E36" s="182"/>
      <c r="F36" s="182"/>
      <c r="G36" s="317">
        <f>G14-G31</f>
        <v>2450</v>
      </c>
      <c r="H36" s="323"/>
      <c r="J36" s="8"/>
      <c r="K36" s="26" t="s">
        <v>39</v>
      </c>
      <c r="L36" s="27">
        <f>SUM(F43:F56)</f>
        <v>22700</v>
      </c>
      <c r="M36" s="70"/>
      <c r="Q36" s="316">
        <f>Q14-Q31</f>
        <v>550</v>
      </c>
      <c r="R36" s="316"/>
      <c r="S36" s="3">
        <v>1000</v>
      </c>
      <c r="Z36" s="312">
        <f>Z14-Z31</f>
        <v>1875</v>
      </c>
      <c r="AA36" s="313"/>
      <c r="AC36" s="8"/>
      <c r="AD36" s="8"/>
      <c r="AE36" s="8"/>
      <c r="AF36" s="9"/>
      <c r="AG36" s="9"/>
      <c r="AH36" s="9"/>
      <c r="AI36" s="180">
        <f>AI14-AI31</f>
        <v>1400</v>
      </c>
      <c r="AJ36" s="180"/>
    </row>
    <row r="37" spans="1:42" ht="12.75" customHeight="1" x14ac:dyDescent="0.2">
      <c r="A37" s="8"/>
      <c r="B37" s="182"/>
      <c r="C37" s="182"/>
      <c r="D37" s="182"/>
      <c r="E37" s="182"/>
      <c r="F37" s="182"/>
      <c r="J37" s="8"/>
      <c r="K37" s="8"/>
      <c r="L37" s="8"/>
      <c r="Q37" s="8"/>
      <c r="R37" s="8"/>
      <c r="Z37" s="314"/>
      <c r="AA37" s="315"/>
    </row>
    <row r="38" spans="1:42" ht="12.75" customHeight="1" x14ac:dyDescent="0.2">
      <c r="A38" s="8"/>
      <c r="J38" s="8"/>
      <c r="K38" s="8"/>
      <c r="L38" s="8"/>
    </row>
    <row r="39" spans="1:42" ht="14.25" x14ac:dyDescent="0.2">
      <c r="B39" s="182"/>
      <c r="C39" s="182"/>
      <c r="D39" s="182"/>
      <c r="E39" s="182"/>
      <c r="F39" s="182"/>
      <c r="J39" s="33"/>
      <c r="K39" s="309" t="s">
        <v>46</v>
      </c>
      <c r="L39" s="309"/>
      <c r="M39" s="71"/>
    </row>
    <row r="40" spans="1:42" ht="12.75" customHeight="1" x14ac:dyDescent="0.2">
      <c r="A40" s="182" t="s">
        <v>0</v>
      </c>
      <c r="B40" s="182"/>
      <c r="C40" s="182"/>
      <c r="D40" s="182"/>
      <c r="E40" s="182"/>
      <c r="F40" s="182"/>
      <c r="G40" s="182"/>
      <c r="H40" s="182"/>
      <c r="I40" s="182"/>
      <c r="J40" s="33"/>
      <c r="K40" s="309"/>
      <c r="L40" s="309"/>
      <c r="M40" s="71"/>
    </row>
    <row r="41" spans="1:42" ht="12.75" customHeight="1" x14ac:dyDescent="0.2">
      <c r="A41" s="182"/>
      <c r="B41" s="182"/>
      <c r="C41" s="182"/>
      <c r="D41" s="182"/>
      <c r="E41" s="182"/>
      <c r="F41" s="182"/>
      <c r="G41" s="182"/>
      <c r="H41" s="182"/>
      <c r="I41" s="182"/>
      <c r="J41" s="8"/>
      <c r="K41" s="312">
        <f>L36*70/100</f>
        <v>15890</v>
      </c>
      <c r="L41" s="313"/>
      <c r="M41" s="72"/>
    </row>
    <row r="42" spans="1:42" ht="12.75" customHeight="1" x14ac:dyDescent="0.2">
      <c r="A42" s="182"/>
      <c r="B42" s="5" t="s">
        <v>2</v>
      </c>
      <c r="C42" s="5" t="s">
        <v>51</v>
      </c>
      <c r="D42" s="5" t="s">
        <v>3</v>
      </c>
      <c r="E42" s="5" t="s">
        <v>5</v>
      </c>
      <c r="F42" s="5" t="s">
        <v>52</v>
      </c>
      <c r="G42" s="182"/>
      <c r="H42" s="182"/>
      <c r="I42" s="182"/>
      <c r="J42" s="8"/>
      <c r="K42" s="314"/>
      <c r="L42" s="315"/>
      <c r="M42" s="72"/>
    </row>
    <row r="43" spans="1:42" ht="12.75" customHeight="1" x14ac:dyDescent="0.2">
      <c r="B43" s="52" t="s">
        <v>53</v>
      </c>
      <c r="C43" s="13"/>
      <c r="D43" s="9" t="s">
        <v>54</v>
      </c>
      <c r="E43" s="9">
        <v>1000</v>
      </c>
      <c r="F43" s="181">
        <v>1000</v>
      </c>
      <c r="G43" s="5" t="s">
        <v>55</v>
      </c>
      <c r="H43" s="5" t="s">
        <v>56</v>
      </c>
      <c r="I43" s="5" t="s">
        <v>57</v>
      </c>
      <c r="J43" s="8"/>
      <c r="K43" s="8"/>
      <c r="L43" s="8"/>
      <c r="Q43" s="2"/>
      <c r="R43" s="304" t="s">
        <v>0</v>
      </c>
    </row>
    <row r="44" spans="1:42" ht="12.75" customHeight="1" x14ac:dyDescent="0.2">
      <c r="B44" s="8" t="s">
        <v>58</v>
      </c>
      <c r="C44" s="8"/>
      <c r="D44" s="9" t="s">
        <v>59</v>
      </c>
      <c r="E44" s="9">
        <v>1000</v>
      </c>
      <c r="F44" s="9">
        <v>1000</v>
      </c>
      <c r="G44" s="181"/>
      <c r="H44" s="8"/>
      <c r="I44" s="8"/>
      <c r="J44" s="8"/>
      <c r="K44" s="8"/>
      <c r="L44" s="8"/>
      <c r="Q44" s="2"/>
      <c r="R44" s="304"/>
    </row>
    <row r="45" spans="1:42" ht="12.75" customHeight="1" x14ac:dyDescent="0.2">
      <c r="B45" s="23" t="s">
        <v>60</v>
      </c>
      <c r="C45" s="13"/>
      <c r="D45" s="9" t="s">
        <v>61</v>
      </c>
      <c r="E45" s="9">
        <v>1600</v>
      </c>
      <c r="F45" s="181">
        <v>1600</v>
      </c>
      <c r="G45" s="181"/>
      <c r="H45" s="8"/>
      <c r="I45" s="8"/>
      <c r="J45" s="58"/>
      <c r="K45" s="309" t="s">
        <v>47</v>
      </c>
      <c r="L45" s="309"/>
      <c r="M45" s="71"/>
      <c r="Q45" s="2"/>
      <c r="R45" s="304"/>
    </row>
    <row r="46" spans="1:42" ht="12.75" customHeight="1" x14ac:dyDescent="0.2">
      <c r="A46" s="5" t="s">
        <v>1</v>
      </c>
      <c r="B46" s="13" t="s">
        <v>62</v>
      </c>
      <c r="C46" s="13"/>
      <c r="D46" s="9" t="s">
        <v>63</v>
      </c>
      <c r="E46" s="9">
        <v>1000</v>
      </c>
      <c r="F46" s="9">
        <v>1000</v>
      </c>
      <c r="G46" s="181"/>
      <c r="H46" s="8"/>
      <c r="I46" s="8"/>
      <c r="J46" s="9"/>
      <c r="K46" s="309"/>
      <c r="L46" s="309"/>
      <c r="M46" s="71"/>
      <c r="R46" s="5" t="s">
        <v>1</v>
      </c>
    </row>
    <row r="47" spans="1:42" ht="12.75" customHeight="1" x14ac:dyDescent="0.2">
      <c r="A47" s="1">
        <v>1</v>
      </c>
      <c r="B47" s="13" t="s">
        <v>65</v>
      </c>
      <c r="C47" s="13"/>
      <c r="D47" s="9" t="s">
        <v>66</v>
      </c>
      <c r="E47" s="9">
        <v>2100</v>
      </c>
      <c r="F47" s="9">
        <v>2100</v>
      </c>
      <c r="G47" s="9"/>
      <c r="H47" s="8"/>
      <c r="I47" s="8"/>
      <c r="J47" s="9"/>
      <c r="K47" s="316">
        <f>L36*30/100</f>
        <v>6810</v>
      </c>
      <c r="L47" s="316"/>
      <c r="M47" s="72"/>
      <c r="R47" s="1">
        <v>1</v>
      </c>
      <c r="AJ47" s="53"/>
      <c r="AK47" s="54"/>
      <c r="AL47" s="54"/>
      <c r="AM47" s="53"/>
      <c r="AN47" s="53"/>
    </row>
    <row r="48" spans="1:42" ht="12.75" customHeight="1" x14ac:dyDescent="0.2">
      <c r="A48" s="1">
        <v>2</v>
      </c>
      <c r="B48" s="8" t="s">
        <v>58</v>
      </c>
      <c r="C48" s="8"/>
      <c r="D48" s="9" t="s">
        <v>59</v>
      </c>
      <c r="E48" s="9">
        <v>2000</v>
      </c>
      <c r="F48" s="9">
        <v>2000</v>
      </c>
      <c r="G48" s="9"/>
      <c r="H48" s="8"/>
      <c r="I48" s="8"/>
      <c r="J48" s="9"/>
      <c r="K48" s="316"/>
      <c r="L48" s="316"/>
      <c r="M48" s="72"/>
      <c r="R48" s="1">
        <v>2</v>
      </c>
      <c r="AF48" s="302" t="s">
        <v>0</v>
      </c>
      <c r="AG48" s="302"/>
      <c r="AH48" s="302"/>
      <c r="AI48" s="302"/>
      <c r="AJ48" s="302"/>
      <c r="AK48" s="302"/>
      <c r="AL48" s="302"/>
      <c r="AM48" s="302"/>
      <c r="AN48" s="302"/>
      <c r="AO48" s="302"/>
      <c r="AP48" s="289"/>
    </row>
    <row r="49" spans="1:42" ht="12.75" customHeight="1" x14ac:dyDescent="0.2">
      <c r="A49" s="1">
        <v>3</v>
      </c>
      <c r="B49" s="13"/>
      <c r="C49" s="13"/>
      <c r="D49" s="9"/>
      <c r="E49" s="9"/>
      <c r="F49" s="9"/>
      <c r="G49" s="181"/>
      <c r="H49" s="8"/>
      <c r="I49" s="8"/>
      <c r="J49" s="9"/>
      <c r="K49" s="8"/>
      <c r="L49" s="8"/>
      <c r="O49" s="3">
        <v>1000</v>
      </c>
      <c r="R49" s="1">
        <v>3</v>
      </c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289"/>
    </row>
    <row r="50" spans="1:42" ht="12.75" customHeight="1" x14ac:dyDescent="0.2">
      <c r="A50" s="1">
        <v>4</v>
      </c>
      <c r="B50" s="8" t="s">
        <v>72</v>
      </c>
      <c r="C50" s="8"/>
      <c r="D50" s="8"/>
      <c r="E50" s="8"/>
      <c r="F50" s="9"/>
      <c r="G50" s="181"/>
      <c r="H50" s="8"/>
      <c r="I50" s="8"/>
      <c r="J50" s="9"/>
      <c r="K50" s="8"/>
      <c r="L50" s="8"/>
      <c r="O50" s="3">
        <v>500</v>
      </c>
      <c r="R50" s="1">
        <v>4</v>
      </c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290"/>
    </row>
    <row r="51" spans="1:42" ht="12.75" customHeight="1" x14ac:dyDescent="0.2">
      <c r="A51" s="1">
        <v>5</v>
      </c>
      <c r="B51" s="13" t="s">
        <v>73</v>
      </c>
      <c r="C51" s="13"/>
      <c r="D51" s="9" t="s">
        <v>74</v>
      </c>
      <c r="E51" s="9">
        <v>7000</v>
      </c>
      <c r="F51" s="9">
        <v>4000</v>
      </c>
      <c r="G51" s="181"/>
      <c r="H51" s="8"/>
      <c r="I51" s="8"/>
      <c r="J51" s="9"/>
      <c r="K51" s="307" t="s">
        <v>24</v>
      </c>
      <c r="L51" s="307"/>
      <c r="M51" s="69"/>
      <c r="N51" s="3" t="s">
        <v>87</v>
      </c>
      <c r="O51" s="3">
        <v>2000</v>
      </c>
      <c r="R51" s="1">
        <v>5</v>
      </c>
      <c r="AE51" s="5" t="s">
        <v>1</v>
      </c>
      <c r="AF51" s="5" t="s">
        <v>2</v>
      </c>
      <c r="AG51" s="5" t="s">
        <v>51</v>
      </c>
      <c r="AH51" s="5" t="s">
        <v>3</v>
      </c>
      <c r="AI51" s="5" t="s">
        <v>5</v>
      </c>
      <c r="AJ51" s="5" t="s">
        <v>52</v>
      </c>
      <c r="AK51" s="5" t="s">
        <v>55</v>
      </c>
      <c r="AL51" s="5" t="s">
        <v>56</v>
      </c>
      <c r="AM51" s="5" t="s">
        <v>57</v>
      </c>
      <c r="AN51" s="5" t="s">
        <v>4</v>
      </c>
      <c r="AO51" s="291" t="s">
        <v>75</v>
      </c>
      <c r="AP51" s="292"/>
    </row>
    <row r="52" spans="1:42" ht="12.75" customHeight="1" x14ac:dyDescent="0.2">
      <c r="A52" s="1">
        <v>6</v>
      </c>
      <c r="B52" s="13" t="s">
        <v>76</v>
      </c>
      <c r="C52" s="13"/>
      <c r="D52" s="9" t="s">
        <v>74</v>
      </c>
      <c r="E52" s="9">
        <v>8000</v>
      </c>
      <c r="F52" s="9">
        <v>5000</v>
      </c>
      <c r="G52" s="9">
        <f>E51-F51</f>
        <v>3000</v>
      </c>
      <c r="H52" s="8"/>
      <c r="I52" s="8"/>
      <c r="J52" s="9"/>
      <c r="K52" s="307"/>
      <c r="L52" s="307"/>
      <c r="M52" s="69"/>
      <c r="N52" s="3" t="s">
        <v>88</v>
      </c>
      <c r="O52" s="3">
        <v>1000</v>
      </c>
      <c r="Q52" s="36"/>
      <c r="R52" s="34">
        <v>6</v>
      </c>
      <c r="AE52" s="1">
        <v>1</v>
      </c>
      <c r="AF52" s="52" t="s">
        <v>80</v>
      </c>
      <c r="AG52" s="13" t="s">
        <v>81</v>
      </c>
      <c r="AH52" s="9" t="s">
        <v>67</v>
      </c>
      <c r="AI52" s="9">
        <v>1000</v>
      </c>
      <c r="AJ52" s="181">
        <v>1000</v>
      </c>
      <c r="AK52" s="181"/>
      <c r="AL52" s="8">
        <f t="shared" ref="AL52:AL74" si="5">AI52-AJ52</f>
        <v>0</v>
      </c>
      <c r="AM52" s="8"/>
      <c r="AN52" s="8"/>
      <c r="AO52" s="293"/>
      <c r="AP52" s="294"/>
    </row>
    <row r="53" spans="1:42" ht="12.75" customHeight="1" x14ac:dyDescent="0.2">
      <c r="A53" s="1">
        <v>7</v>
      </c>
      <c r="B53" s="13" t="s">
        <v>82</v>
      </c>
      <c r="C53" s="13"/>
      <c r="D53" s="9" t="s">
        <v>74</v>
      </c>
      <c r="E53" s="9">
        <v>8000</v>
      </c>
      <c r="F53" s="9">
        <v>5000</v>
      </c>
      <c r="G53" s="9">
        <f>E52-F52</f>
        <v>3000</v>
      </c>
      <c r="H53" s="8"/>
      <c r="I53" s="8"/>
      <c r="J53" s="9"/>
      <c r="K53" s="316">
        <f>K41+K47</f>
        <v>22700</v>
      </c>
      <c r="L53" s="316"/>
      <c r="M53" s="72"/>
      <c r="O53" s="3">
        <v>2000</v>
      </c>
      <c r="R53" s="1">
        <v>7</v>
      </c>
      <c r="AE53" s="1">
        <v>2</v>
      </c>
      <c r="AF53" s="8" t="s">
        <v>83</v>
      </c>
      <c r="AG53" s="8"/>
      <c r="AH53" s="9" t="s">
        <v>67</v>
      </c>
      <c r="AI53" s="9">
        <v>1000</v>
      </c>
      <c r="AJ53" s="9">
        <v>1000</v>
      </c>
      <c r="AK53" s="181"/>
      <c r="AL53" s="8">
        <f t="shared" si="5"/>
        <v>0</v>
      </c>
      <c r="AM53" s="8"/>
      <c r="AN53" s="8"/>
      <c r="AO53" s="307" t="s">
        <v>24</v>
      </c>
      <c r="AP53" s="307"/>
    </row>
    <row r="54" spans="1:42" ht="12.75" customHeight="1" x14ac:dyDescent="0.2">
      <c r="A54" s="1">
        <v>8</v>
      </c>
      <c r="B54" s="8"/>
      <c r="C54" s="8"/>
      <c r="D54" s="8"/>
      <c r="E54" s="8"/>
      <c r="F54" s="9"/>
      <c r="G54" s="9">
        <f>E53-F53</f>
        <v>3000</v>
      </c>
      <c r="H54" s="9"/>
      <c r="I54" s="9"/>
      <c r="J54" s="9"/>
      <c r="K54" s="316"/>
      <c r="L54" s="316"/>
      <c r="M54" s="72"/>
      <c r="O54" s="3">
        <v>5000</v>
      </c>
      <c r="R54" s="1"/>
      <c r="AE54" s="1">
        <v>3</v>
      </c>
      <c r="AF54" s="23" t="s">
        <v>84</v>
      </c>
      <c r="AG54" s="13"/>
      <c r="AH54" s="9" t="s">
        <v>67</v>
      </c>
      <c r="AI54" s="9">
        <v>1000</v>
      </c>
      <c r="AJ54" s="181">
        <v>1000</v>
      </c>
      <c r="AK54" s="181"/>
      <c r="AL54" s="8">
        <f t="shared" si="5"/>
        <v>0</v>
      </c>
      <c r="AM54" s="8"/>
      <c r="AN54" s="8"/>
      <c r="AO54" s="307"/>
      <c r="AP54" s="307"/>
    </row>
    <row r="55" spans="1:42" ht="12.75" customHeight="1" x14ac:dyDescent="0.2">
      <c r="A55" s="1">
        <v>9</v>
      </c>
      <c r="B55" s="8"/>
      <c r="C55" s="8"/>
      <c r="D55" s="8"/>
      <c r="E55" s="8"/>
      <c r="F55" s="9"/>
      <c r="G55" s="181"/>
      <c r="H55" s="9"/>
      <c r="I55" s="59"/>
      <c r="J55" s="9"/>
      <c r="K55" s="8"/>
      <c r="L55" s="8"/>
      <c r="O55" s="3">
        <v>600</v>
      </c>
      <c r="R55" s="1"/>
      <c r="AE55" s="1">
        <v>4</v>
      </c>
      <c r="AF55" s="13" t="s">
        <v>85</v>
      </c>
      <c r="AG55" s="13"/>
      <c r="AH55" s="9" t="s">
        <v>67</v>
      </c>
      <c r="AI55" s="9">
        <v>1000</v>
      </c>
      <c r="AJ55" s="9">
        <v>1000</v>
      </c>
      <c r="AK55" s="9"/>
      <c r="AL55" s="8">
        <f t="shared" si="5"/>
        <v>0</v>
      </c>
      <c r="AM55" s="8"/>
      <c r="AN55" s="8"/>
      <c r="AO55" s="26" t="s">
        <v>37</v>
      </c>
      <c r="AP55" s="27">
        <f>SUM(AI52:AI73)</f>
        <v>5000</v>
      </c>
    </row>
    <row r="56" spans="1:42" ht="12.75" customHeight="1" x14ac:dyDescent="0.2">
      <c r="A56" s="28">
        <v>11</v>
      </c>
      <c r="B56" s="8"/>
      <c r="C56" s="8"/>
      <c r="D56" s="8"/>
      <c r="E56" s="8"/>
      <c r="F56" s="9"/>
      <c r="G56" s="181"/>
      <c r="H56" s="9"/>
      <c r="I56" s="9"/>
      <c r="J56" s="9"/>
      <c r="K56" s="309" t="s">
        <v>48</v>
      </c>
      <c r="L56" s="309"/>
      <c r="M56" s="71"/>
      <c r="O56" s="3">
        <v>4500</v>
      </c>
      <c r="R56" s="1"/>
      <c r="AE56" s="1">
        <v>5</v>
      </c>
      <c r="AF56" s="13" t="s">
        <v>86</v>
      </c>
      <c r="AG56" s="13"/>
      <c r="AH56" s="9" t="s">
        <v>67</v>
      </c>
      <c r="AI56" s="9">
        <v>1000</v>
      </c>
      <c r="AJ56" s="9">
        <v>0</v>
      </c>
      <c r="AK56" s="9"/>
      <c r="AL56" s="8">
        <f t="shared" si="5"/>
        <v>1000</v>
      </c>
      <c r="AM56" s="8"/>
      <c r="AN56" s="33"/>
      <c r="AO56" s="26" t="s">
        <v>39</v>
      </c>
      <c r="AP56" s="27">
        <f>SUM(AJ52:AJ70)</f>
        <v>4000</v>
      </c>
    </row>
    <row r="57" spans="1:42" ht="12.75" customHeight="1" x14ac:dyDescent="0.2">
      <c r="A57" s="28">
        <v>12</v>
      </c>
      <c r="B57" s="8"/>
      <c r="C57" s="8"/>
      <c r="D57" s="8"/>
      <c r="E57" s="8"/>
      <c r="F57" s="9"/>
      <c r="G57" s="9"/>
      <c r="H57" s="9"/>
      <c r="I57" s="9"/>
      <c r="J57" s="9"/>
      <c r="K57" s="309"/>
      <c r="L57" s="309"/>
      <c r="M57" s="71"/>
      <c r="O57" s="3">
        <f>SUM(O49:O56)</f>
        <v>16600</v>
      </c>
      <c r="R57" s="1"/>
      <c r="AE57" s="1">
        <v>6</v>
      </c>
      <c r="AJ57" s="9"/>
      <c r="AK57" s="181"/>
      <c r="AL57" s="8">
        <f t="shared" si="5"/>
        <v>0</v>
      </c>
      <c r="AM57" s="8"/>
      <c r="AN57" s="33"/>
      <c r="AO57" s="26" t="s">
        <v>45</v>
      </c>
      <c r="AP57" s="27">
        <f>SUM(AL52:AL71)</f>
        <v>1000</v>
      </c>
    </row>
    <row r="58" spans="1:42" ht="12.75" customHeight="1" x14ac:dyDescent="0.2">
      <c r="A58" s="28">
        <v>13</v>
      </c>
      <c r="B58" s="8"/>
      <c r="C58" s="8"/>
      <c r="D58" s="8"/>
      <c r="E58" s="8"/>
      <c r="F58" s="9"/>
      <c r="G58" s="9"/>
      <c r="H58" s="9"/>
      <c r="I58" s="9"/>
      <c r="K58" s="316">
        <v>16600</v>
      </c>
      <c r="L58" s="316"/>
      <c r="M58" s="72"/>
      <c r="R58" s="1"/>
      <c r="AE58" s="1">
        <v>7</v>
      </c>
      <c r="AF58" s="13"/>
      <c r="AG58" s="13"/>
      <c r="AH58" s="9"/>
      <c r="AI58" s="9"/>
      <c r="AJ58" s="9"/>
      <c r="AK58" s="181"/>
      <c r="AL58" s="8">
        <f t="shared" si="5"/>
        <v>0</v>
      </c>
      <c r="AM58" s="8"/>
      <c r="AN58" s="8"/>
      <c r="AO58" s="8"/>
      <c r="AP58" s="8"/>
    </row>
    <row r="59" spans="1:42" ht="12.75" customHeight="1" x14ac:dyDescent="0.2">
      <c r="A59" s="60">
        <v>14</v>
      </c>
      <c r="B59" s="8"/>
      <c r="C59" s="8"/>
      <c r="D59" s="8"/>
      <c r="E59" s="8"/>
      <c r="F59" s="9"/>
      <c r="G59" s="9"/>
      <c r="H59" s="9"/>
      <c r="I59" s="9"/>
      <c r="K59" s="316"/>
      <c r="L59" s="316"/>
      <c r="M59" s="72"/>
      <c r="R59" s="9"/>
      <c r="AE59" s="1">
        <v>8</v>
      </c>
      <c r="AF59" s="8"/>
      <c r="AG59" s="8"/>
      <c r="AH59" s="8"/>
      <c r="AI59" s="8"/>
      <c r="AJ59" s="9"/>
      <c r="AK59" s="181"/>
      <c r="AL59" s="8">
        <f t="shared" si="5"/>
        <v>0</v>
      </c>
      <c r="AM59" s="8"/>
      <c r="AN59" s="8"/>
      <c r="AO59" s="309" t="s">
        <v>46</v>
      </c>
      <c r="AP59" s="309"/>
    </row>
    <row r="60" spans="1:42" ht="12.75" customHeight="1" x14ac:dyDescent="0.2">
      <c r="A60" s="60">
        <v>15</v>
      </c>
      <c r="B60" s="8"/>
      <c r="C60" s="8"/>
      <c r="D60" s="8"/>
      <c r="E60" s="8"/>
      <c r="F60" s="9"/>
      <c r="G60" s="9"/>
      <c r="H60" s="9"/>
      <c r="I60" s="9"/>
      <c r="K60" s="8"/>
      <c r="L60" s="8"/>
      <c r="R60" s="9"/>
      <c r="AE60" s="1">
        <v>9</v>
      </c>
      <c r="AF60" s="8"/>
      <c r="AG60" s="8"/>
      <c r="AH60" s="8"/>
      <c r="AI60" s="8"/>
      <c r="AJ60" s="9"/>
      <c r="AK60" s="181"/>
      <c r="AL60" s="8">
        <f t="shared" si="5"/>
        <v>0</v>
      </c>
      <c r="AM60" s="8"/>
      <c r="AN60" s="8"/>
      <c r="AO60" s="309"/>
      <c r="AP60" s="309"/>
    </row>
    <row r="61" spans="1:42" ht="12.75" customHeight="1" x14ac:dyDescent="0.2">
      <c r="A61" s="60">
        <v>16</v>
      </c>
      <c r="B61" s="13"/>
      <c r="C61" s="13"/>
      <c r="D61" s="9"/>
      <c r="E61" s="181"/>
      <c r="F61" s="9"/>
      <c r="G61" s="9"/>
      <c r="H61" s="9"/>
      <c r="I61" s="9"/>
      <c r="K61" s="309" t="s">
        <v>49</v>
      </c>
      <c r="L61" s="309"/>
      <c r="M61" s="71"/>
      <c r="R61" s="9"/>
      <c r="AE61" s="28">
        <v>11</v>
      </c>
      <c r="AF61" s="8"/>
      <c r="AG61" s="8"/>
      <c r="AH61" s="8"/>
      <c r="AI61" s="8"/>
      <c r="AJ61" s="9"/>
      <c r="AK61" s="181"/>
      <c r="AL61" s="8">
        <f t="shared" si="5"/>
        <v>0</v>
      </c>
      <c r="AM61" s="8"/>
      <c r="AN61" s="8"/>
      <c r="AO61" s="312">
        <f>AP56*70/100</f>
        <v>2800</v>
      </c>
      <c r="AP61" s="313"/>
    </row>
    <row r="62" spans="1:42" ht="12.75" customHeight="1" x14ac:dyDescent="0.2">
      <c r="A62" s="60">
        <v>17</v>
      </c>
      <c r="B62" s="13"/>
      <c r="C62" s="13"/>
      <c r="D62" s="9"/>
      <c r="E62" s="9"/>
      <c r="F62" s="9"/>
      <c r="G62" s="9"/>
      <c r="H62" s="181"/>
      <c r="I62" s="9"/>
      <c r="K62" s="309"/>
      <c r="L62" s="309"/>
      <c r="M62" s="71"/>
      <c r="R62" s="9"/>
      <c r="AE62" s="28">
        <v>12</v>
      </c>
      <c r="AF62" s="8"/>
      <c r="AG62" s="8"/>
      <c r="AH62" s="8"/>
      <c r="AI62" s="8"/>
      <c r="AJ62" s="9"/>
      <c r="AK62" s="181"/>
      <c r="AL62" s="8">
        <f t="shared" si="5"/>
        <v>0</v>
      </c>
      <c r="AM62" s="9"/>
      <c r="AN62" s="58"/>
      <c r="AO62" s="314"/>
      <c r="AP62" s="315"/>
    </row>
    <row r="63" spans="1:42" ht="12.75" customHeight="1" x14ac:dyDescent="0.2">
      <c r="A63" s="60"/>
      <c r="B63" s="8"/>
      <c r="C63" s="8"/>
      <c r="D63" s="9"/>
      <c r="E63" s="9"/>
      <c r="F63" s="9"/>
      <c r="G63" s="9"/>
      <c r="H63" s="181"/>
      <c r="I63" s="9"/>
      <c r="K63" s="316">
        <f>K41-K58</f>
        <v>-710</v>
      </c>
      <c r="L63" s="316"/>
      <c r="M63" s="72"/>
      <c r="R63" s="9"/>
      <c r="AE63" s="28">
        <v>13</v>
      </c>
      <c r="AF63" s="8"/>
      <c r="AG63" s="8"/>
      <c r="AH63" s="8"/>
      <c r="AI63" s="8"/>
      <c r="AJ63" s="9"/>
      <c r="AK63" s="181"/>
      <c r="AL63" s="8">
        <f t="shared" si="5"/>
        <v>0</v>
      </c>
      <c r="AM63" s="59"/>
      <c r="AN63" s="9"/>
      <c r="AO63" s="8"/>
      <c r="AP63" s="8"/>
    </row>
    <row r="64" spans="1:42" ht="12.75" customHeight="1" x14ac:dyDescent="0.2">
      <c r="B64" s="8"/>
      <c r="C64" s="8"/>
      <c r="D64" s="9"/>
      <c r="E64" s="9"/>
      <c r="F64" s="9"/>
      <c r="G64" s="183"/>
      <c r="K64" s="316"/>
      <c r="L64" s="316"/>
      <c r="M64" s="72"/>
      <c r="R64" s="8"/>
      <c r="AE64" s="60">
        <v>14</v>
      </c>
      <c r="AF64" s="8"/>
      <c r="AG64" s="8"/>
      <c r="AH64" s="8"/>
      <c r="AI64" s="8"/>
      <c r="AJ64" s="9"/>
      <c r="AK64" s="181"/>
      <c r="AL64" s="8">
        <f t="shared" si="5"/>
        <v>0</v>
      </c>
      <c r="AM64" s="9"/>
      <c r="AN64" s="9"/>
      <c r="AO64" s="8"/>
      <c r="AP64" s="8"/>
    </row>
    <row r="65" spans="1:42" ht="12.75" customHeight="1" x14ac:dyDescent="0.2">
      <c r="A65" s="9"/>
      <c r="D65" s="9"/>
      <c r="E65" s="61"/>
      <c r="G65" s="9"/>
      <c r="H65" s="9"/>
      <c r="I65" s="9"/>
      <c r="R65" s="9"/>
      <c r="AE65" s="60">
        <v>15</v>
      </c>
      <c r="AF65" s="8"/>
      <c r="AG65" s="8"/>
      <c r="AH65" s="8"/>
      <c r="AI65" s="8"/>
      <c r="AJ65" s="9"/>
      <c r="AK65" s="9"/>
      <c r="AL65" s="8">
        <f t="shared" si="5"/>
        <v>0</v>
      </c>
      <c r="AM65" s="9"/>
      <c r="AN65" s="9"/>
      <c r="AO65" s="309" t="s">
        <v>47</v>
      </c>
      <c r="AP65" s="309"/>
    </row>
    <row r="66" spans="1:42" ht="12.75" customHeight="1" x14ac:dyDescent="0.2">
      <c r="A66" s="9"/>
      <c r="G66" s="9"/>
      <c r="H66" s="9"/>
      <c r="I66" s="9"/>
      <c r="R66" s="9"/>
      <c r="AE66" s="60">
        <v>16</v>
      </c>
      <c r="AF66" s="8"/>
      <c r="AG66" s="8"/>
      <c r="AH66" s="8"/>
      <c r="AI66" s="8"/>
      <c r="AJ66" s="9"/>
      <c r="AK66" s="9"/>
      <c r="AL66" s="8">
        <f t="shared" si="5"/>
        <v>0</v>
      </c>
      <c r="AM66" s="9"/>
      <c r="AN66" s="9"/>
      <c r="AO66" s="309"/>
      <c r="AP66" s="309"/>
    </row>
    <row r="67" spans="1:42" ht="12.75" customHeight="1" x14ac:dyDescent="0.2">
      <c r="A67" s="9"/>
      <c r="R67" s="9"/>
      <c r="AE67" s="60">
        <v>17</v>
      </c>
      <c r="AF67" s="8"/>
      <c r="AG67" s="8"/>
      <c r="AH67" s="8"/>
      <c r="AI67" s="8"/>
      <c r="AJ67" s="9"/>
      <c r="AK67" s="9"/>
      <c r="AL67" s="8">
        <f t="shared" si="5"/>
        <v>0</v>
      </c>
      <c r="AM67" s="9"/>
      <c r="AN67" s="9"/>
      <c r="AO67" s="316">
        <f>AP56*30/100</f>
        <v>1200</v>
      </c>
      <c r="AP67" s="316"/>
    </row>
    <row r="68" spans="1:42" ht="12.75" customHeight="1" x14ac:dyDescent="0.2">
      <c r="A68" s="9"/>
      <c r="R68" s="9"/>
      <c r="AE68" s="60"/>
      <c r="AF68" s="8"/>
      <c r="AG68" s="8"/>
      <c r="AH68" s="8"/>
      <c r="AI68" s="8"/>
      <c r="AJ68" s="9"/>
      <c r="AK68" s="9"/>
      <c r="AL68" s="8">
        <f t="shared" si="5"/>
        <v>0</v>
      </c>
      <c r="AM68" s="9"/>
      <c r="AN68" s="9"/>
      <c r="AO68" s="316"/>
      <c r="AP68" s="316"/>
    </row>
    <row r="69" spans="1:42" ht="12.75" customHeight="1" x14ac:dyDescent="0.2">
      <c r="R69" s="8"/>
      <c r="AF69" s="8"/>
      <c r="AG69" s="8"/>
      <c r="AH69" s="8"/>
      <c r="AI69" s="8"/>
      <c r="AJ69" s="9"/>
      <c r="AK69" s="9"/>
      <c r="AL69" s="8">
        <f t="shared" si="5"/>
        <v>0</v>
      </c>
      <c r="AM69" s="9"/>
      <c r="AN69" s="9"/>
      <c r="AO69" s="8"/>
      <c r="AP69" s="8"/>
    </row>
    <row r="70" spans="1:42" ht="12.75" customHeight="1" x14ac:dyDescent="0.2">
      <c r="R70" s="8"/>
      <c r="AE70" s="9"/>
      <c r="AF70" s="13"/>
      <c r="AG70" s="13"/>
      <c r="AH70" s="9"/>
      <c r="AI70" s="181"/>
      <c r="AJ70" s="9"/>
      <c r="AK70" s="9"/>
      <c r="AL70" s="8">
        <f t="shared" si="5"/>
        <v>0</v>
      </c>
      <c r="AM70" s="9"/>
      <c r="AN70" s="9"/>
      <c r="AO70" s="8"/>
      <c r="AP70" s="8"/>
    </row>
    <row r="71" spans="1:42" ht="12.75" customHeight="1" x14ac:dyDescent="0.2">
      <c r="R71" s="8"/>
      <c r="AE71" s="9"/>
      <c r="AF71" s="13"/>
      <c r="AG71" s="13"/>
      <c r="AH71" s="9"/>
      <c r="AI71" s="9"/>
      <c r="AJ71" s="9"/>
      <c r="AK71" s="9"/>
      <c r="AL71" s="8">
        <f t="shared" si="5"/>
        <v>0</v>
      </c>
      <c r="AM71" s="9"/>
      <c r="AN71" s="9"/>
      <c r="AO71" s="307" t="s">
        <v>24</v>
      </c>
      <c r="AP71" s="307"/>
    </row>
    <row r="72" spans="1:42" ht="12.75" customHeight="1" x14ac:dyDescent="0.2">
      <c r="R72" s="8"/>
      <c r="AE72" s="9"/>
      <c r="AF72" s="8"/>
      <c r="AG72" s="8"/>
      <c r="AH72" s="9"/>
      <c r="AI72" s="9"/>
      <c r="AJ72" s="9"/>
      <c r="AK72" s="183"/>
      <c r="AL72" s="8">
        <f t="shared" si="5"/>
        <v>0</v>
      </c>
      <c r="AN72" s="9"/>
      <c r="AO72" s="307"/>
      <c r="AP72" s="307"/>
    </row>
    <row r="73" spans="1:42" ht="12.75" customHeight="1" x14ac:dyDescent="0.2">
      <c r="R73" s="8"/>
      <c r="AE73" s="9"/>
      <c r="AF73" s="8"/>
      <c r="AG73" s="8"/>
      <c r="AH73" s="9"/>
      <c r="AI73" s="9"/>
      <c r="AJ73" s="9"/>
      <c r="AK73" s="9"/>
      <c r="AL73" s="8">
        <f t="shared" si="5"/>
        <v>0</v>
      </c>
      <c r="AM73" s="9"/>
      <c r="AN73" s="9"/>
      <c r="AO73" s="316">
        <f>AO61+AO67</f>
        <v>4000</v>
      </c>
      <c r="AP73" s="316"/>
    </row>
    <row r="74" spans="1:42" ht="12.75" customHeight="1" x14ac:dyDescent="0.2">
      <c r="R74" s="8"/>
      <c r="AH74" s="9"/>
      <c r="AI74" s="61"/>
      <c r="AK74" s="9"/>
      <c r="AL74" s="8">
        <f t="shared" si="5"/>
        <v>0</v>
      </c>
      <c r="AM74" s="9"/>
      <c r="AN74" s="9"/>
      <c r="AO74" s="316"/>
      <c r="AP74" s="316"/>
    </row>
    <row r="75" spans="1:42" ht="12.75" customHeight="1" x14ac:dyDescent="0.2">
      <c r="R75" s="8"/>
      <c r="AO75" s="8"/>
      <c r="AP75" s="8"/>
    </row>
    <row r="76" spans="1:42" ht="12.75" customHeight="1" x14ac:dyDescent="0.2">
      <c r="R76" s="8"/>
      <c r="AO76" s="309" t="s">
        <v>48</v>
      </c>
      <c r="AP76" s="309"/>
    </row>
    <row r="77" spans="1:42" ht="12.75" customHeight="1" x14ac:dyDescent="0.2">
      <c r="R77" s="8"/>
      <c r="AO77" s="309"/>
      <c r="AP77" s="309"/>
    </row>
    <row r="78" spans="1:42" ht="12.75" customHeight="1" x14ac:dyDescent="0.2">
      <c r="R78" s="8"/>
      <c r="AO78" s="316">
        <v>0</v>
      </c>
      <c r="AP78" s="316"/>
    </row>
    <row r="79" spans="1:42" ht="12.75" customHeight="1" x14ac:dyDescent="0.2">
      <c r="AO79" s="316"/>
      <c r="AP79" s="316"/>
    </row>
    <row r="80" spans="1:42" ht="12.75" customHeight="1" x14ac:dyDescent="0.2">
      <c r="AO80" s="8"/>
      <c r="AP80" s="8"/>
    </row>
    <row r="81" spans="41:42" ht="12.75" customHeight="1" x14ac:dyDescent="0.2">
      <c r="AO81" s="309" t="s">
        <v>49</v>
      </c>
      <c r="AP81" s="309"/>
    </row>
    <row r="82" spans="41:42" ht="12.75" customHeight="1" x14ac:dyDescent="0.2">
      <c r="AO82" s="309"/>
      <c r="AP82" s="309"/>
    </row>
    <row r="83" spans="41:42" ht="12.75" customHeight="1" x14ac:dyDescent="0.2">
      <c r="AO83" s="316">
        <f>AO61-AO78</f>
        <v>2800</v>
      </c>
      <c r="AP83" s="316"/>
    </row>
    <row r="84" spans="41:42" ht="12.75" customHeight="1" x14ac:dyDescent="0.2">
      <c r="AO84" s="316"/>
      <c r="AP84" s="316"/>
    </row>
  </sheetData>
  <mergeCells count="82">
    <mergeCell ref="A1:F3"/>
    <mergeCell ref="J1:P3"/>
    <mergeCell ref="T1:AA3"/>
    <mergeCell ref="AC1:AJ3"/>
    <mergeCell ref="B5:C5"/>
    <mergeCell ref="D5:F5"/>
    <mergeCell ref="G4:H5"/>
    <mergeCell ref="Q4:R5"/>
    <mergeCell ref="Z4:AA5"/>
    <mergeCell ref="AK1:AK3"/>
    <mergeCell ref="G6:H7"/>
    <mergeCell ref="Q6:R7"/>
    <mergeCell ref="Z6:AA7"/>
    <mergeCell ref="AI6:AJ7"/>
    <mergeCell ref="AI4:AJ5"/>
    <mergeCell ref="K5:N5"/>
    <mergeCell ref="G12:H13"/>
    <mergeCell ref="Q12:R13"/>
    <mergeCell ref="Z12:AA13"/>
    <mergeCell ref="AI12:AJ13"/>
    <mergeCell ref="G14:H15"/>
    <mergeCell ref="Q14:R15"/>
    <mergeCell ref="Z14:AA15"/>
    <mergeCell ref="AI14:AJ15"/>
    <mergeCell ref="G18:H19"/>
    <mergeCell ref="Q18:R19"/>
    <mergeCell ref="Z18:AA19"/>
    <mergeCell ref="AI18:AJ19"/>
    <mergeCell ref="G20:H21"/>
    <mergeCell ref="Q20:R21"/>
    <mergeCell ref="Z20:AA21"/>
    <mergeCell ref="AI20:AJ21"/>
    <mergeCell ref="G24:H25"/>
    <mergeCell ref="Q24:R25"/>
    <mergeCell ref="Z24:AA25"/>
    <mergeCell ref="AI24:AJ25"/>
    <mergeCell ref="G26:H27"/>
    <mergeCell ref="Q26:R27"/>
    <mergeCell ref="Z26:AA27"/>
    <mergeCell ref="AI26:AJ27"/>
    <mergeCell ref="G29:H30"/>
    <mergeCell ref="Q29:R30"/>
    <mergeCell ref="Z29:AA30"/>
    <mergeCell ref="AI29:AJ30"/>
    <mergeCell ref="AI31:AJ32"/>
    <mergeCell ref="K31:L32"/>
    <mergeCell ref="G31:H32"/>
    <mergeCell ref="Q31:R32"/>
    <mergeCell ref="Z31:AA32"/>
    <mergeCell ref="G34:H35"/>
    <mergeCell ref="Q34:R35"/>
    <mergeCell ref="Z34:AA35"/>
    <mergeCell ref="AI34:AJ35"/>
    <mergeCell ref="G36:H36"/>
    <mergeCell ref="Q36:R36"/>
    <mergeCell ref="Z36:AA37"/>
    <mergeCell ref="K33:L34"/>
    <mergeCell ref="K39:L40"/>
    <mergeCell ref="AF48:AO50"/>
    <mergeCell ref="AP48:AP50"/>
    <mergeCell ref="K41:L42"/>
    <mergeCell ref="AO51:AP52"/>
    <mergeCell ref="K45:L46"/>
    <mergeCell ref="R43:R45"/>
    <mergeCell ref="K47:L48"/>
    <mergeCell ref="K51:L52"/>
    <mergeCell ref="AO59:AP60"/>
    <mergeCell ref="K53:L54"/>
    <mergeCell ref="AO61:AP62"/>
    <mergeCell ref="K56:L57"/>
    <mergeCell ref="K58:L59"/>
    <mergeCell ref="AO53:AP54"/>
    <mergeCell ref="AO81:AP82"/>
    <mergeCell ref="AO83:AP84"/>
    <mergeCell ref="K61:L62"/>
    <mergeCell ref="K63:L64"/>
    <mergeCell ref="AO71:AP72"/>
    <mergeCell ref="AO73:AP74"/>
    <mergeCell ref="AO76:AP77"/>
    <mergeCell ref="AO78:AP79"/>
    <mergeCell ref="AO65:AP66"/>
    <mergeCell ref="AO67:AP68"/>
  </mergeCells>
  <conditionalFormatting sqref="F7:F25 E19">
    <cfRule type="cellIs" dxfId="45" priority="4" operator="lessThan">
      <formula>500</formula>
    </cfRule>
  </conditionalFormatting>
  <conditionalFormatting sqref="F43 F45:F47">
    <cfRule type="cellIs" dxfId="44" priority="12" operator="lessThan">
      <formula>500</formula>
    </cfRule>
  </conditionalFormatting>
  <conditionalFormatting sqref="F49:F64">
    <cfRule type="cellIs" dxfId="43" priority="9" operator="lessThan">
      <formula>500</formula>
    </cfRule>
  </conditionalFormatting>
  <conditionalFormatting sqref="G44:G51">
    <cfRule type="cellIs" dxfId="42" priority="10" operator="lessThan">
      <formula>500</formula>
    </cfRule>
  </conditionalFormatting>
  <conditionalFormatting sqref="G55:G63 AJ70:AK71 AJ73:AK73">
    <cfRule type="cellIs" dxfId="41" priority="13" operator="lessThan">
      <formula>500</formula>
    </cfRule>
  </conditionalFormatting>
  <conditionalFormatting sqref="G65:G66">
    <cfRule type="cellIs" dxfId="40" priority="11" operator="lessThan">
      <formula>500</formula>
    </cfRule>
  </conditionalFormatting>
  <conditionalFormatting sqref="P7:P18">
    <cfRule type="cellIs" dxfId="39" priority="3" operator="lessThan">
      <formula>500</formula>
    </cfRule>
  </conditionalFormatting>
  <conditionalFormatting sqref="Y5">
    <cfRule type="cellIs" dxfId="38" priority="2" operator="lessThan">
      <formula>500</formula>
    </cfRule>
  </conditionalFormatting>
  <conditionalFormatting sqref="Y7:Y26">
    <cfRule type="cellIs" dxfId="37" priority="1" operator="lessThan">
      <formula>500</formula>
    </cfRule>
  </conditionalFormatting>
  <conditionalFormatting sqref="AH5:AH36">
    <cfRule type="cellIs" dxfId="36" priority="5" operator="lessThan">
      <formula>500</formula>
    </cfRule>
  </conditionalFormatting>
  <conditionalFormatting sqref="AJ52 AJ54:AJ69">
    <cfRule type="cellIs" dxfId="35" priority="8" operator="lessThan">
      <formula>500</formula>
    </cfRule>
  </conditionalFormatting>
  <conditionalFormatting sqref="AJ72 AK74">
    <cfRule type="cellIs" dxfId="34" priority="7" operator="lessThan">
      <formula>500</formula>
    </cfRule>
  </conditionalFormatting>
  <conditionalFormatting sqref="AK52:AK69">
    <cfRule type="cellIs" dxfId="33" priority="6" operator="lessThan">
      <formula>500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84"/>
  <sheetViews>
    <sheetView zoomScale="85" zoomScaleNormal="85" workbookViewId="0">
      <selection activeCell="J9" sqref="A9:XFD9"/>
    </sheetView>
  </sheetViews>
  <sheetFormatPr defaultColWidth="9.140625" defaultRowHeight="12" x14ac:dyDescent="0.2"/>
  <cols>
    <col min="1" max="1" width="6.5703125" style="3" customWidth="1"/>
    <col min="2" max="2" width="15" style="3" customWidth="1"/>
    <col min="3" max="3" width="14" style="3" customWidth="1"/>
    <col min="4" max="4" width="11.140625" style="3" customWidth="1"/>
    <col min="5" max="5" width="7.5703125" style="3" customWidth="1"/>
    <col min="6" max="6" width="7.85546875" style="3" customWidth="1"/>
    <col min="7" max="7" width="10.5703125" style="3" customWidth="1"/>
    <col min="8" max="8" width="13.28515625" style="3" customWidth="1"/>
    <col min="9" max="10" width="5.85546875" style="3" customWidth="1"/>
    <col min="11" max="11" width="13" style="3" customWidth="1"/>
    <col min="12" max="12" width="19.140625" style="3" customWidth="1"/>
    <col min="13" max="13" width="7" style="3" customWidth="1"/>
    <col min="14" max="14" width="10.7109375" style="3" customWidth="1"/>
    <col min="15" max="15" width="8.42578125" style="3" customWidth="1"/>
    <col min="16" max="16" width="8" style="3" customWidth="1"/>
    <col min="17" max="17" width="12.140625" style="3" customWidth="1"/>
    <col min="18" max="18" width="13.7109375" style="3" customWidth="1"/>
    <col min="19" max="19" width="14.85546875" style="3" customWidth="1"/>
    <col min="20" max="20" width="7.85546875" style="3" customWidth="1"/>
    <col min="21" max="22" width="13.5703125" style="3" customWidth="1"/>
    <col min="23" max="23" width="13" style="3" customWidth="1"/>
    <col min="24" max="24" width="13.5703125" style="3" customWidth="1"/>
    <col min="25" max="25" width="9.140625" style="3"/>
    <col min="26" max="26" width="11" style="3" customWidth="1"/>
    <col min="27" max="27" width="14.140625" style="3" customWidth="1"/>
    <col min="28" max="28" width="9.140625" style="3"/>
    <col min="29" max="29" width="7.140625" style="3" customWidth="1"/>
    <col min="30" max="30" width="14.85546875" style="3" customWidth="1"/>
    <col min="31" max="31" width="10.5703125" style="3" customWidth="1"/>
    <col min="32" max="32" width="10.7109375" style="3" customWidth="1"/>
    <col min="33" max="33" width="9.7109375" style="3" customWidth="1"/>
    <col min="34" max="34" width="10.5703125" style="3" customWidth="1"/>
    <col min="35" max="35" width="13.140625" style="3" customWidth="1"/>
    <col min="36" max="36" width="10.28515625" style="3" customWidth="1"/>
    <col min="37" max="37" width="9.140625" style="3"/>
    <col min="38" max="38" width="12.28515625" style="3" customWidth="1"/>
    <col min="39" max="39" width="15.5703125" style="3" customWidth="1"/>
    <col min="40" max="40" width="12" style="3" customWidth="1"/>
    <col min="41" max="41" width="23.85546875" style="3" customWidth="1"/>
    <col min="42" max="42" width="23.42578125" style="3" customWidth="1"/>
    <col min="43" max="43" width="11.5703125" style="3" customWidth="1"/>
    <col min="44" max="44" width="7.85546875" style="3" customWidth="1"/>
    <col min="45" max="45" width="9.140625" style="3"/>
    <col min="46" max="46" width="11.7109375" style="3" customWidth="1"/>
    <col min="47" max="47" width="11.140625" style="3" customWidth="1"/>
    <col min="48" max="48" width="11.42578125" style="3" customWidth="1"/>
    <col min="49" max="49" width="10.28515625" style="3" customWidth="1"/>
    <col min="50" max="50" width="10.5703125" style="3" customWidth="1"/>
    <col min="51" max="52" width="11.140625" style="3" customWidth="1"/>
    <col min="53" max="54" width="9.140625" style="3"/>
    <col min="55" max="56" width="13.42578125" style="3" customWidth="1"/>
    <col min="57" max="16384" width="9.140625" style="3"/>
  </cols>
  <sheetData>
    <row r="1" spans="1:37" ht="12.75" customHeight="1" x14ac:dyDescent="0.2">
      <c r="A1" s="302" t="s">
        <v>0</v>
      </c>
      <c r="B1" s="302"/>
      <c r="C1" s="302"/>
      <c r="D1" s="302"/>
      <c r="E1" s="302"/>
      <c r="F1" s="302"/>
      <c r="G1" s="66"/>
      <c r="H1" s="66"/>
      <c r="I1" s="54"/>
      <c r="J1" s="331" t="s">
        <v>0</v>
      </c>
      <c r="K1" s="332"/>
      <c r="L1" s="332"/>
      <c r="M1" s="332"/>
      <c r="N1" s="332"/>
      <c r="O1" s="332"/>
      <c r="P1" s="332"/>
      <c r="Q1" s="66"/>
      <c r="R1" s="66"/>
      <c r="T1" s="306" t="s">
        <v>0</v>
      </c>
      <c r="U1" s="304"/>
      <c r="V1" s="304"/>
      <c r="W1" s="304"/>
      <c r="X1" s="304"/>
      <c r="Y1" s="304"/>
      <c r="Z1" s="304"/>
      <c r="AA1" s="305"/>
      <c r="AB1" s="4"/>
      <c r="AC1" s="302" t="s">
        <v>0</v>
      </c>
      <c r="AD1" s="302"/>
      <c r="AE1" s="302"/>
      <c r="AF1" s="302"/>
      <c r="AG1" s="302"/>
      <c r="AH1" s="302"/>
      <c r="AI1" s="302"/>
      <c r="AJ1" s="302"/>
      <c r="AK1" s="289"/>
    </row>
    <row r="2" spans="1:37" ht="12.75" customHeight="1" x14ac:dyDescent="0.2">
      <c r="A2" s="302"/>
      <c r="B2" s="302"/>
      <c r="C2" s="302"/>
      <c r="D2" s="302"/>
      <c r="E2" s="302"/>
      <c r="F2" s="302"/>
      <c r="G2" s="66"/>
      <c r="H2" s="66"/>
      <c r="I2" s="54"/>
      <c r="J2" s="333"/>
      <c r="K2" s="302"/>
      <c r="L2" s="302"/>
      <c r="M2" s="302"/>
      <c r="N2" s="302"/>
      <c r="O2" s="302"/>
      <c r="P2" s="302"/>
      <c r="Q2" s="66"/>
      <c r="R2" s="66"/>
      <c r="T2" s="306"/>
      <c r="U2" s="304"/>
      <c r="V2" s="304"/>
      <c r="W2" s="304"/>
      <c r="X2" s="304"/>
      <c r="Y2" s="304"/>
      <c r="Z2" s="304"/>
      <c r="AA2" s="305"/>
      <c r="AB2" s="4"/>
      <c r="AC2" s="302"/>
      <c r="AD2" s="302"/>
      <c r="AE2" s="302"/>
      <c r="AF2" s="302"/>
      <c r="AG2" s="302"/>
      <c r="AH2" s="302"/>
      <c r="AI2" s="302"/>
      <c r="AJ2" s="302"/>
      <c r="AK2" s="289"/>
    </row>
    <row r="3" spans="1:37" ht="12.75" customHeight="1" x14ac:dyDescent="0.2">
      <c r="A3" s="303"/>
      <c r="B3" s="303"/>
      <c r="C3" s="303"/>
      <c r="D3" s="303"/>
      <c r="E3" s="303"/>
      <c r="F3" s="303"/>
      <c r="G3" s="67"/>
      <c r="H3" s="67"/>
      <c r="I3" s="54"/>
      <c r="J3" s="333"/>
      <c r="K3" s="302"/>
      <c r="L3" s="302"/>
      <c r="M3" s="302"/>
      <c r="N3" s="302"/>
      <c r="O3" s="302"/>
      <c r="P3" s="302"/>
      <c r="Q3" s="66"/>
      <c r="R3" s="66"/>
      <c r="T3" s="306"/>
      <c r="U3" s="304"/>
      <c r="V3" s="304"/>
      <c r="W3" s="304"/>
      <c r="X3" s="304"/>
      <c r="Y3" s="304"/>
      <c r="Z3" s="304"/>
      <c r="AA3" s="305"/>
      <c r="AB3" s="4"/>
      <c r="AC3" s="303"/>
      <c r="AD3" s="303"/>
      <c r="AE3" s="303"/>
      <c r="AF3" s="303"/>
      <c r="AG3" s="303"/>
      <c r="AH3" s="303"/>
      <c r="AI3" s="303"/>
      <c r="AJ3" s="303"/>
      <c r="AK3" s="290"/>
    </row>
    <row r="4" spans="1:37" ht="12.75" customHeight="1" x14ac:dyDescent="0.2">
      <c r="A4" s="75" t="s">
        <v>161</v>
      </c>
      <c r="B4" s="75" t="s">
        <v>2</v>
      </c>
      <c r="C4" s="75" t="s">
        <v>3</v>
      </c>
      <c r="D4" s="75" t="s">
        <v>4</v>
      </c>
      <c r="E4" s="75" t="s">
        <v>5</v>
      </c>
      <c r="F4" s="75" t="s">
        <v>6</v>
      </c>
      <c r="G4" s="335" t="s">
        <v>7</v>
      </c>
      <c r="H4" s="336"/>
      <c r="I4" s="102"/>
      <c r="J4" s="105" t="s">
        <v>1</v>
      </c>
      <c r="K4" s="105" t="s">
        <v>2</v>
      </c>
      <c r="L4" s="105" t="s">
        <v>3</v>
      </c>
      <c r="M4" s="105" t="s">
        <v>89</v>
      </c>
      <c r="N4" s="105" t="s">
        <v>4</v>
      </c>
      <c r="O4" s="105" t="s">
        <v>5</v>
      </c>
      <c r="P4" s="105" t="s">
        <v>6</v>
      </c>
      <c r="Q4" s="341" t="s">
        <v>8</v>
      </c>
      <c r="R4" s="341"/>
      <c r="S4" s="123"/>
      <c r="T4" s="7" t="s">
        <v>1</v>
      </c>
      <c r="U4" s="5" t="s">
        <v>2</v>
      </c>
      <c r="V4" s="5" t="s">
        <v>3</v>
      </c>
      <c r="W4" s="5" t="s">
        <v>4</v>
      </c>
      <c r="X4" s="5" t="s">
        <v>5</v>
      </c>
      <c r="Y4" s="5" t="s">
        <v>6</v>
      </c>
      <c r="Z4" s="384" t="s">
        <v>10</v>
      </c>
      <c r="AA4" s="385"/>
      <c r="AB4" s="183"/>
      <c r="AC4" s="5" t="s">
        <v>1</v>
      </c>
      <c r="AD4" s="5" t="s">
        <v>2</v>
      </c>
      <c r="AE4" s="5" t="s">
        <v>3</v>
      </c>
      <c r="AF4" s="5" t="s">
        <v>4</v>
      </c>
      <c r="AG4" s="5" t="s">
        <v>5</v>
      </c>
      <c r="AH4" s="5" t="s">
        <v>6</v>
      </c>
      <c r="AI4" s="298" t="s">
        <v>11</v>
      </c>
      <c r="AJ4" s="299"/>
    </row>
    <row r="5" spans="1:37" ht="12.75" customHeight="1" x14ac:dyDescent="0.2">
      <c r="A5" s="78">
        <v>1</v>
      </c>
      <c r="B5" s="118" t="s">
        <v>171</v>
      </c>
      <c r="C5" s="118">
        <v>2</v>
      </c>
      <c r="D5" s="119">
        <v>46026</v>
      </c>
      <c r="E5" s="118">
        <v>2700</v>
      </c>
      <c r="F5" s="118">
        <v>2700</v>
      </c>
      <c r="G5" s="337"/>
      <c r="H5" s="338"/>
      <c r="I5" s="102"/>
      <c r="J5" s="106">
        <v>1</v>
      </c>
      <c r="K5" s="116" t="s">
        <v>92</v>
      </c>
      <c r="L5" s="116" t="s">
        <v>100</v>
      </c>
      <c r="M5" s="116" t="s">
        <v>96</v>
      </c>
      <c r="N5" s="116"/>
      <c r="O5" s="116">
        <v>1000</v>
      </c>
      <c r="P5" s="116"/>
      <c r="Q5" s="341"/>
      <c r="R5" s="341"/>
      <c r="S5" s="44"/>
      <c r="T5" s="14">
        <v>1</v>
      </c>
      <c r="U5" s="13" t="s">
        <v>101</v>
      </c>
      <c r="V5" s="13" t="s">
        <v>102</v>
      </c>
      <c r="W5" s="9"/>
      <c r="X5" s="9">
        <v>1250</v>
      </c>
      <c r="Y5" s="9"/>
      <c r="Z5" s="386"/>
      <c r="AA5" s="387"/>
      <c r="AC5" s="1">
        <v>1</v>
      </c>
      <c r="AD5" s="15" t="s">
        <v>20</v>
      </c>
      <c r="AE5" s="9" t="s">
        <v>21</v>
      </c>
      <c r="AF5" s="10">
        <v>45971</v>
      </c>
      <c r="AG5" s="9">
        <v>1000</v>
      </c>
      <c r="AH5" s="9"/>
      <c r="AI5" s="300"/>
      <c r="AJ5" s="301"/>
    </row>
    <row r="6" spans="1:37" ht="12.75" customHeight="1" x14ac:dyDescent="0.2">
      <c r="A6" s="78">
        <v>2</v>
      </c>
      <c r="B6" s="84" t="s">
        <v>172</v>
      </c>
      <c r="C6" s="85">
        <v>2</v>
      </c>
      <c r="D6" s="81">
        <v>46026</v>
      </c>
      <c r="E6" s="115">
        <v>2000</v>
      </c>
      <c r="F6" s="85"/>
      <c r="G6" s="325" t="s">
        <v>24</v>
      </c>
      <c r="H6" s="325"/>
      <c r="I6" s="86"/>
      <c r="J6" s="106">
        <v>2</v>
      </c>
      <c r="K6" s="108" t="s">
        <v>94</v>
      </c>
      <c r="L6" s="108" t="s">
        <v>111</v>
      </c>
      <c r="M6" s="108" t="s">
        <v>112</v>
      </c>
      <c r="N6" s="108"/>
      <c r="O6" s="108">
        <v>1300</v>
      </c>
      <c r="P6" s="108">
        <v>300</v>
      </c>
      <c r="Q6" s="307" t="s">
        <v>24</v>
      </c>
      <c r="R6" s="307"/>
      <c r="T6" s="1">
        <v>2</v>
      </c>
      <c r="U6" s="13" t="s">
        <v>106</v>
      </c>
      <c r="V6" s="13" t="s">
        <v>18</v>
      </c>
      <c r="W6" s="9"/>
      <c r="X6" s="9">
        <v>2600</v>
      </c>
      <c r="Y6" s="9"/>
      <c r="Z6" s="369" t="s">
        <v>24</v>
      </c>
      <c r="AA6" s="370"/>
      <c r="AC6" s="1">
        <v>2</v>
      </c>
      <c r="AD6" s="15" t="s">
        <v>28</v>
      </c>
      <c r="AE6" s="9" t="s">
        <v>21</v>
      </c>
      <c r="AF6" s="10">
        <v>45972</v>
      </c>
      <c r="AG6" s="9">
        <v>1500</v>
      </c>
      <c r="AH6" s="9"/>
      <c r="AI6" s="369" t="s">
        <v>24</v>
      </c>
      <c r="AJ6" s="373"/>
    </row>
    <row r="7" spans="1:37" ht="12.75" customHeight="1" x14ac:dyDescent="0.25">
      <c r="A7" s="78">
        <v>3</v>
      </c>
      <c r="B7" s="87" t="s">
        <v>168</v>
      </c>
      <c r="C7" s="87" t="s">
        <v>173</v>
      </c>
      <c r="D7" s="81">
        <v>46026</v>
      </c>
      <c r="E7" s="115">
        <v>2600</v>
      </c>
      <c r="F7" s="85"/>
      <c r="G7" s="325"/>
      <c r="H7" s="325"/>
      <c r="I7" s="86"/>
      <c r="J7" s="106">
        <v>3</v>
      </c>
      <c r="K7" s="117" t="s">
        <v>97</v>
      </c>
      <c r="L7" s="117" t="s">
        <v>125</v>
      </c>
      <c r="M7" s="117" t="s">
        <v>112</v>
      </c>
      <c r="N7" s="117"/>
      <c r="O7" s="117">
        <v>500</v>
      </c>
      <c r="P7" s="117">
        <v>500</v>
      </c>
      <c r="Q7" s="307"/>
      <c r="R7" s="307"/>
      <c r="T7" s="1">
        <v>3</v>
      </c>
      <c r="U7" s="35" t="s">
        <v>174</v>
      </c>
      <c r="V7" s="13" t="s">
        <v>175</v>
      </c>
      <c r="W7" s="35"/>
      <c r="X7" s="35">
        <v>5500</v>
      </c>
      <c r="Y7" s="9">
        <v>5500</v>
      </c>
      <c r="Z7" s="371"/>
      <c r="AA7" s="372"/>
      <c r="AC7" s="1">
        <v>3</v>
      </c>
      <c r="AD7" s="24" t="s">
        <v>97</v>
      </c>
      <c r="AE7" s="9" t="s">
        <v>21</v>
      </c>
      <c r="AF7" s="10">
        <v>45973</v>
      </c>
      <c r="AG7" s="25">
        <v>500</v>
      </c>
      <c r="AH7" s="9"/>
      <c r="AI7" s="371"/>
      <c r="AJ7" s="374"/>
    </row>
    <row r="8" spans="1:37" ht="12.75" customHeight="1" x14ac:dyDescent="0.2">
      <c r="A8" s="78">
        <v>4</v>
      </c>
      <c r="B8" s="107" t="s">
        <v>176</v>
      </c>
      <c r="C8" s="107">
        <v>1</v>
      </c>
      <c r="D8" s="107">
        <v>46026</v>
      </c>
      <c r="E8" s="107">
        <v>1000</v>
      </c>
      <c r="F8" s="107">
        <v>1000</v>
      </c>
      <c r="G8" s="89" t="s">
        <v>37</v>
      </c>
      <c r="H8" s="90">
        <f>SUM(E6:E23)</f>
        <v>12000</v>
      </c>
      <c r="I8" s="86"/>
      <c r="J8" s="106">
        <v>4</v>
      </c>
      <c r="K8" s="116" t="s">
        <v>164</v>
      </c>
      <c r="L8" s="116" t="s">
        <v>117</v>
      </c>
      <c r="M8" s="116" t="s">
        <v>91</v>
      </c>
      <c r="N8" s="116"/>
      <c r="O8" s="116">
        <v>1250</v>
      </c>
      <c r="P8" s="116"/>
      <c r="Q8" s="26" t="s">
        <v>37</v>
      </c>
      <c r="R8" s="27">
        <f>SUM(O5:O16)</f>
        <v>20050</v>
      </c>
      <c r="T8" s="1">
        <v>4</v>
      </c>
      <c r="U8" s="13" t="s">
        <v>177</v>
      </c>
      <c r="V8" s="13" t="s">
        <v>175</v>
      </c>
      <c r="W8" s="9"/>
      <c r="X8" s="9">
        <v>5500</v>
      </c>
      <c r="Y8" s="9">
        <v>5500</v>
      </c>
      <c r="Z8" s="26" t="s">
        <v>37</v>
      </c>
      <c r="AA8" s="27">
        <f>SUM(X5:X11)</f>
        <v>28350</v>
      </c>
      <c r="AC8" s="1">
        <v>4</v>
      </c>
      <c r="AD8" s="32" t="s">
        <v>33</v>
      </c>
      <c r="AE8" s="181" t="str">
        <f>AE7</f>
        <v>MATHS</v>
      </c>
      <c r="AF8" s="17">
        <v>46023</v>
      </c>
      <c r="AG8" s="25">
        <v>2000</v>
      </c>
      <c r="AH8" s="9"/>
      <c r="AI8" s="26" t="s">
        <v>37</v>
      </c>
      <c r="AJ8" s="27">
        <f t="shared" ref="AJ8" si="0">SUM(AG5:AG17)</f>
        <v>7000</v>
      </c>
    </row>
    <row r="9" spans="1:37" ht="12.75" customHeight="1" x14ac:dyDescent="0.25">
      <c r="A9" s="78">
        <v>5</v>
      </c>
      <c r="B9" s="117" t="s">
        <v>178</v>
      </c>
      <c r="C9" s="117"/>
      <c r="D9" s="120">
        <v>46026</v>
      </c>
      <c r="E9" s="117">
        <v>1200</v>
      </c>
      <c r="F9" s="121">
        <v>1200</v>
      </c>
      <c r="G9" s="89" t="s">
        <v>39</v>
      </c>
      <c r="H9" s="90">
        <f>SUM(F5:F23)</f>
        <v>4900</v>
      </c>
      <c r="I9" s="86"/>
      <c r="J9" s="106">
        <v>5</v>
      </c>
      <c r="K9" s="117" t="s">
        <v>166</v>
      </c>
      <c r="L9" s="117" t="s">
        <v>129</v>
      </c>
      <c r="M9" s="117"/>
      <c r="N9" s="117"/>
      <c r="O9" s="117">
        <v>2500</v>
      </c>
      <c r="P9" s="117">
        <v>2500</v>
      </c>
      <c r="Q9" s="26" t="s">
        <v>39</v>
      </c>
      <c r="R9" s="27">
        <f>SUM(P5:P16)</f>
        <v>12500</v>
      </c>
      <c r="S9" s="48"/>
      <c r="T9" s="1">
        <v>5</v>
      </c>
      <c r="U9" s="8" t="s">
        <v>64</v>
      </c>
      <c r="V9" s="8" t="s">
        <v>175</v>
      </c>
      <c r="W9" s="8"/>
      <c r="X9" s="8">
        <v>5500</v>
      </c>
      <c r="Y9" s="9">
        <v>2000</v>
      </c>
      <c r="Z9" s="26" t="s">
        <v>39</v>
      </c>
      <c r="AA9" s="27">
        <f>SUM(Y5:Y20)</f>
        <v>19000</v>
      </c>
      <c r="AC9" s="1">
        <v>5</v>
      </c>
      <c r="AD9" s="8" t="s">
        <v>107</v>
      </c>
      <c r="AE9" s="9" t="s">
        <v>67</v>
      </c>
      <c r="AF9" s="10" t="s">
        <v>108</v>
      </c>
      <c r="AG9" s="9">
        <v>2000</v>
      </c>
      <c r="AH9" s="9">
        <v>2000</v>
      </c>
      <c r="AI9" s="26" t="s">
        <v>39</v>
      </c>
      <c r="AJ9" s="27">
        <f t="shared" ref="AJ9" si="1">SUM(AH5:AH17)</f>
        <v>2000</v>
      </c>
    </row>
    <row r="10" spans="1:37" s="36" customFormat="1" ht="12.75" customHeight="1" x14ac:dyDescent="0.2">
      <c r="A10" s="92">
        <v>6</v>
      </c>
      <c r="B10" s="76" t="s">
        <v>92</v>
      </c>
      <c r="C10" s="76">
        <v>4</v>
      </c>
      <c r="D10" s="81">
        <v>46026</v>
      </c>
      <c r="E10" s="76">
        <v>4000</v>
      </c>
      <c r="F10" s="85"/>
      <c r="G10" s="93"/>
      <c r="H10" s="93"/>
      <c r="I10" s="122"/>
      <c r="J10" s="106">
        <v>6</v>
      </c>
      <c r="K10" s="116" t="s">
        <v>168</v>
      </c>
      <c r="L10" s="116" t="s">
        <v>117</v>
      </c>
      <c r="M10" s="116" t="s">
        <v>115</v>
      </c>
      <c r="N10" s="116"/>
      <c r="O10" s="116">
        <v>1300</v>
      </c>
      <c r="P10" s="116">
        <v>0</v>
      </c>
      <c r="Q10" s="35"/>
      <c r="R10" s="35"/>
      <c r="S10" s="39"/>
      <c r="T10" s="14">
        <v>6</v>
      </c>
      <c r="U10" s="8" t="s">
        <v>179</v>
      </c>
      <c r="V10" s="8" t="s">
        <v>18</v>
      </c>
      <c r="W10" s="8"/>
      <c r="X10" s="8">
        <v>1500</v>
      </c>
      <c r="Y10" s="9">
        <v>1500</v>
      </c>
      <c r="Z10" s="41" t="s">
        <v>45</v>
      </c>
      <c r="AA10" s="42">
        <f>SUM(Y5:Y8)</f>
        <v>11000</v>
      </c>
      <c r="AC10" s="34">
        <v>6</v>
      </c>
      <c r="AD10" s="8"/>
      <c r="AE10" s="35"/>
      <c r="AF10" s="43"/>
      <c r="AG10" s="181"/>
      <c r="AH10" s="181"/>
      <c r="AI10" s="35"/>
      <c r="AJ10" s="35"/>
    </row>
    <row r="11" spans="1:37" ht="12.75" customHeight="1" x14ac:dyDescent="0.2">
      <c r="A11" s="124">
        <v>7</v>
      </c>
      <c r="B11" s="125" t="s">
        <v>180</v>
      </c>
      <c r="C11" s="125" t="s">
        <v>181</v>
      </c>
      <c r="D11" s="126">
        <v>46026</v>
      </c>
      <c r="E11" s="125">
        <v>1200</v>
      </c>
      <c r="F11" s="127"/>
      <c r="G11" s="76"/>
      <c r="H11" s="76"/>
      <c r="I11" s="102"/>
      <c r="J11" s="106">
        <v>7</v>
      </c>
      <c r="K11" s="116" t="s">
        <v>182</v>
      </c>
      <c r="L11" s="116" t="s">
        <v>183</v>
      </c>
      <c r="M11" s="116"/>
      <c r="N11" s="116"/>
      <c r="O11" s="116">
        <v>3000</v>
      </c>
      <c r="P11" s="116"/>
      <c r="Q11" s="309" t="s">
        <v>46</v>
      </c>
      <c r="R11" s="309"/>
      <c r="S11" s="44"/>
      <c r="T11" s="14">
        <v>7</v>
      </c>
      <c r="U11" s="8" t="s">
        <v>184</v>
      </c>
      <c r="V11" s="8" t="s">
        <v>175</v>
      </c>
      <c r="W11" s="8"/>
      <c r="X11" s="8">
        <v>6500</v>
      </c>
      <c r="Y11" s="9">
        <v>1500</v>
      </c>
      <c r="Z11" s="8"/>
      <c r="AA11" s="8"/>
      <c r="AC11" s="1">
        <v>7</v>
      </c>
      <c r="AD11" s="8"/>
      <c r="AE11" s="8"/>
      <c r="AF11" s="10"/>
      <c r="AG11" s="9"/>
      <c r="AH11" s="9"/>
      <c r="AI11" s="8"/>
      <c r="AJ11" s="8"/>
    </row>
    <row r="12" spans="1:37" ht="12.75" customHeight="1" x14ac:dyDescent="0.25">
      <c r="A12" s="78">
        <v>8</v>
      </c>
      <c r="B12" s="76"/>
      <c r="C12" s="76"/>
      <c r="D12" s="76"/>
      <c r="E12" s="76"/>
      <c r="F12" s="85"/>
      <c r="G12" s="330" t="s">
        <v>46</v>
      </c>
      <c r="H12" s="330"/>
      <c r="I12" s="86"/>
      <c r="J12" s="106">
        <v>8</v>
      </c>
      <c r="K12" s="117" t="s">
        <v>85</v>
      </c>
      <c r="L12" s="117" t="s">
        <v>185</v>
      </c>
      <c r="M12" s="117"/>
      <c r="N12" s="117"/>
      <c r="O12" s="117">
        <v>1000</v>
      </c>
      <c r="P12" s="117">
        <v>1000</v>
      </c>
      <c r="Q12" s="309"/>
      <c r="R12" s="309"/>
      <c r="T12" s="1">
        <v>8</v>
      </c>
      <c r="U12" s="8" t="s">
        <v>64</v>
      </c>
      <c r="V12" s="8" t="s">
        <v>175</v>
      </c>
      <c r="W12" s="8"/>
      <c r="X12" s="8">
        <v>6500</v>
      </c>
      <c r="Y12" s="9">
        <v>1500</v>
      </c>
      <c r="Z12" s="309" t="s">
        <v>46</v>
      </c>
      <c r="AA12" s="309"/>
      <c r="AC12" s="1">
        <v>8</v>
      </c>
      <c r="AD12" s="8"/>
      <c r="AE12" s="8"/>
      <c r="AF12" s="10"/>
      <c r="AG12" s="9"/>
      <c r="AH12" s="9"/>
      <c r="AI12" s="309" t="s">
        <v>46</v>
      </c>
      <c r="AJ12" s="309"/>
    </row>
    <row r="13" spans="1:37" ht="12.75" customHeight="1" x14ac:dyDescent="0.2">
      <c r="A13" s="78">
        <v>9</v>
      </c>
      <c r="B13" s="76"/>
      <c r="C13" s="76"/>
      <c r="D13" s="76"/>
      <c r="E13" s="76"/>
      <c r="F13" s="85"/>
      <c r="G13" s="330"/>
      <c r="H13" s="330"/>
      <c r="I13" s="86"/>
      <c r="J13" s="106">
        <v>9</v>
      </c>
      <c r="K13" s="107" t="s">
        <v>164</v>
      </c>
      <c r="L13" s="107" t="s">
        <v>185</v>
      </c>
      <c r="M13" s="107" t="s">
        <v>112</v>
      </c>
      <c r="N13" s="107"/>
      <c r="O13" s="107">
        <v>1200</v>
      </c>
      <c r="P13" s="107">
        <v>1200</v>
      </c>
      <c r="Q13" s="316">
        <f>R9*70/100</f>
        <v>8750</v>
      </c>
      <c r="R13" s="316"/>
      <c r="T13" s="1">
        <v>9</v>
      </c>
      <c r="U13" s="8" t="s">
        <v>186</v>
      </c>
      <c r="V13" s="8" t="s">
        <v>175</v>
      </c>
      <c r="W13" s="8"/>
      <c r="X13" s="8">
        <v>6500</v>
      </c>
      <c r="Y13" s="9">
        <v>1500</v>
      </c>
      <c r="Z13" s="309"/>
      <c r="AA13" s="309"/>
      <c r="AC13" s="1">
        <v>9</v>
      </c>
      <c r="AD13" s="8"/>
      <c r="AE13" s="13"/>
      <c r="AF13" s="9"/>
      <c r="AG13" s="9"/>
      <c r="AH13" s="9"/>
      <c r="AI13" s="309"/>
      <c r="AJ13" s="309"/>
    </row>
    <row r="14" spans="1:37" ht="12.75" customHeight="1" x14ac:dyDescent="0.2">
      <c r="A14" s="78">
        <v>1</v>
      </c>
      <c r="B14" s="76"/>
      <c r="C14" s="76"/>
      <c r="D14" s="76"/>
      <c r="E14" s="76"/>
      <c r="F14" s="85"/>
      <c r="G14" s="326">
        <f>H9</f>
        <v>4900</v>
      </c>
      <c r="H14" s="327"/>
      <c r="I14" s="86"/>
      <c r="J14" s="106">
        <v>10</v>
      </c>
      <c r="K14" s="107" t="s">
        <v>97</v>
      </c>
      <c r="L14" s="107" t="s">
        <v>183</v>
      </c>
      <c r="M14" s="107" t="s">
        <v>187</v>
      </c>
      <c r="N14" s="107"/>
      <c r="O14" s="107">
        <v>3000</v>
      </c>
      <c r="P14" s="107">
        <v>3000</v>
      </c>
      <c r="Q14" s="316"/>
      <c r="R14" s="316"/>
      <c r="T14" s="1">
        <v>10</v>
      </c>
      <c r="U14" s="8" t="s">
        <v>188</v>
      </c>
      <c r="V14" s="8"/>
      <c r="W14" s="8"/>
      <c r="X14" s="8">
        <v>6500</v>
      </c>
      <c r="Y14" s="9"/>
      <c r="Z14" s="316">
        <f>AA9</f>
        <v>19000</v>
      </c>
      <c r="AA14" s="316"/>
      <c r="AC14" s="1"/>
      <c r="AD14" s="8"/>
      <c r="AE14" s="8"/>
      <c r="AF14" s="9"/>
      <c r="AG14" s="9"/>
      <c r="AH14" s="9"/>
      <c r="AI14" s="312">
        <f t="shared" ref="AI14" si="2">AJ9*70/100</f>
        <v>1400</v>
      </c>
      <c r="AJ14" s="313"/>
    </row>
    <row r="15" spans="1:37" ht="12.75" customHeight="1" x14ac:dyDescent="0.25">
      <c r="A15" s="78">
        <v>11</v>
      </c>
      <c r="B15" s="76"/>
      <c r="C15" s="76"/>
      <c r="D15" s="76"/>
      <c r="E15" s="76"/>
      <c r="F15" s="85"/>
      <c r="G15" s="328"/>
      <c r="H15" s="329"/>
      <c r="I15" s="86"/>
      <c r="J15" s="106">
        <v>11</v>
      </c>
      <c r="K15" s="117" t="s">
        <v>189</v>
      </c>
      <c r="L15" s="117">
        <v>2</v>
      </c>
      <c r="M15" s="117"/>
      <c r="N15" s="117"/>
      <c r="O15" s="117">
        <v>1500</v>
      </c>
      <c r="P15" s="117">
        <v>1500</v>
      </c>
      <c r="Q15" s="8"/>
      <c r="R15" s="8"/>
      <c r="T15" s="1">
        <v>11</v>
      </c>
      <c r="U15" s="8"/>
      <c r="V15" s="8"/>
      <c r="W15" s="8"/>
      <c r="X15" s="8"/>
      <c r="Y15" s="9"/>
      <c r="Z15" s="316"/>
      <c r="AA15" s="316"/>
      <c r="AC15" s="1"/>
      <c r="AD15" s="1"/>
      <c r="AE15" s="8"/>
      <c r="AF15" s="9"/>
      <c r="AG15" s="8"/>
      <c r="AH15" s="9"/>
      <c r="AI15" s="314"/>
      <c r="AJ15" s="315"/>
    </row>
    <row r="16" spans="1:37" ht="12.75" customHeight="1" x14ac:dyDescent="0.25">
      <c r="A16" s="78">
        <v>12</v>
      </c>
      <c r="B16" s="76"/>
      <c r="C16" s="76"/>
      <c r="D16" s="76"/>
      <c r="E16" s="76"/>
      <c r="F16" s="85"/>
      <c r="G16" s="76"/>
      <c r="H16" s="76"/>
      <c r="I16" s="102"/>
      <c r="J16" s="106">
        <v>12</v>
      </c>
      <c r="K16" s="117" t="s">
        <v>190</v>
      </c>
      <c r="L16" s="117">
        <v>2</v>
      </c>
      <c r="M16" s="117">
        <v>11</v>
      </c>
      <c r="N16" s="117"/>
      <c r="O16" s="117">
        <v>2500</v>
      </c>
      <c r="P16" s="117">
        <v>2500</v>
      </c>
      <c r="Q16" s="309" t="s">
        <v>47</v>
      </c>
      <c r="R16" s="309"/>
      <c r="S16" s="44"/>
      <c r="T16" s="14">
        <v>12</v>
      </c>
      <c r="U16" s="8"/>
      <c r="V16" s="8"/>
      <c r="W16" s="8"/>
      <c r="X16" s="8"/>
      <c r="Y16" s="9"/>
      <c r="Z16" s="8"/>
      <c r="AA16" s="8"/>
      <c r="AC16" s="1"/>
      <c r="AD16" s="13"/>
      <c r="AE16" s="13"/>
      <c r="AF16" s="9"/>
      <c r="AG16" s="9"/>
      <c r="AH16" s="9"/>
      <c r="AI16" s="8"/>
      <c r="AJ16" s="8"/>
    </row>
    <row r="17" spans="1:36" ht="12.75" customHeight="1" x14ac:dyDescent="0.25">
      <c r="A17" s="78">
        <v>13</v>
      </c>
      <c r="B17" s="76"/>
      <c r="C17" s="76"/>
      <c r="D17" s="85"/>
      <c r="E17" s="115"/>
      <c r="F17" s="85"/>
      <c r="G17" s="76"/>
      <c r="H17" s="76"/>
      <c r="I17" s="102"/>
      <c r="J17" s="106">
        <v>13</v>
      </c>
      <c r="K17" s="117" t="s">
        <v>191</v>
      </c>
      <c r="L17" s="117" t="s">
        <v>192</v>
      </c>
      <c r="M17" s="117">
        <v>10</v>
      </c>
      <c r="N17" s="117"/>
      <c r="O17" s="117">
        <v>1000</v>
      </c>
      <c r="P17" s="117">
        <v>1000</v>
      </c>
      <c r="Q17" s="309"/>
      <c r="R17" s="309"/>
      <c r="S17" s="44"/>
      <c r="T17" s="14">
        <v>13</v>
      </c>
      <c r="U17" s="8"/>
      <c r="V17" s="8"/>
      <c r="W17" s="8"/>
      <c r="X17" s="8"/>
      <c r="Y17" s="9"/>
      <c r="Z17" s="8"/>
      <c r="AA17" s="8"/>
      <c r="AC17" s="1"/>
      <c r="AD17" s="13"/>
      <c r="AE17" s="13"/>
      <c r="AF17" s="9"/>
      <c r="AG17" s="9"/>
      <c r="AH17" s="9"/>
      <c r="AI17" s="8"/>
      <c r="AJ17" s="8"/>
    </row>
    <row r="18" spans="1:36" ht="12.75" customHeight="1" x14ac:dyDescent="0.25">
      <c r="A18" s="78">
        <v>14</v>
      </c>
      <c r="B18" s="87"/>
      <c r="C18" s="87"/>
      <c r="D18" s="85"/>
      <c r="E18" s="115"/>
      <c r="F18" s="85"/>
      <c r="G18" s="330" t="s">
        <v>47</v>
      </c>
      <c r="H18" s="330"/>
      <c r="I18" s="86"/>
      <c r="J18" s="106">
        <v>14</v>
      </c>
      <c r="K18" s="117" t="s">
        <v>193</v>
      </c>
      <c r="L18" s="117" t="s">
        <v>192</v>
      </c>
      <c r="M18" s="117">
        <v>10</v>
      </c>
      <c r="N18" s="117"/>
      <c r="O18" s="117">
        <v>1000</v>
      </c>
      <c r="P18" s="117">
        <v>1000</v>
      </c>
      <c r="Q18" s="316">
        <f>R9*30/100</f>
        <v>3750</v>
      </c>
      <c r="R18" s="316"/>
      <c r="T18" s="1">
        <v>14</v>
      </c>
      <c r="U18" s="8"/>
      <c r="V18" s="8"/>
      <c r="W18" s="8"/>
      <c r="X18" s="8"/>
      <c r="Y18" s="9"/>
      <c r="Z18" s="309" t="s">
        <v>47</v>
      </c>
      <c r="AA18" s="309"/>
      <c r="AC18" s="1"/>
      <c r="AD18" s="8"/>
      <c r="AE18" s="8"/>
      <c r="AF18" s="8"/>
      <c r="AG18" s="8"/>
      <c r="AH18" s="9"/>
      <c r="AI18" s="309" t="s">
        <v>47</v>
      </c>
      <c r="AJ18" s="309"/>
    </row>
    <row r="19" spans="1:36" ht="12.75" customHeight="1" x14ac:dyDescent="0.2">
      <c r="A19" s="78">
        <v>15</v>
      </c>
      <c r="B19" s="87"/>
      <c r="C19" s="87"/>
      <c r="D19" s="85"/>
      <c r="E19" s="80"/>
      <c r="F19" s="85"/>
      <c r="G19" s="330"/>
      <c r="H19" s="330"/>
      <c r="I19" s="86"/>
      <c r="J19" s="106">
        <v>15</v>
      </c>
      <c r="K19" s="8"/>
      <c r="L19" s="8"/>
      <c r="M19" s="8"/>
      <c r="N19" s="8"/>
      <c r="O19" s="8"/>
      <c r="P19" s="8"/>
      <c r="Q19" s="316"/>
      <c r="R19" s="316"/>
      <c r="T19" s="1">
        <v>15</v>
      </c>
      <c r="U19" s="8"/>
      <c r="V19" s="8"/>
      <c r="W19" s="8"/>
      <c r="X19" s="8"/>
      <c r="Y19" s="9"/>
      <c r="Z19" s="309"/>
      <c r="AA19" s="309"/>
      <c r="AC19" s="1"/>
      <c r="AD19" s="8"/>
      <c r="AE19" s="8"/>
      <c r="AF19" s="8"/>
      <c r="AG19" s="8"/>
      <c r="AH19" s="9"/>
      <c r="AI19" s="309"/>
      <c r="AJ19" s="309"/>
    </row>
    <row r="20" spans="1:36" ht="12.75" customHeight="1" x14ac:dyDescent="0.2">
      <c r="A20" s="78">
        <v>16</v>
      </c>
      <c r="F20" s="85"/>
      <c r="G20" s="324">
        <f>H9*30/100</f>
        <v>1470</v>
      </c>
      <c r="H20" s="324"/>
      <c r="I20" s="86"/>
      <c r="J20" s="8"/>
      <c r="K20" s="8"/>
      <c r="L20" s="8"/>
      <c r="M20" s="8"/>
      <c r="N20" s="8"/>
      <c r="O20" s="8"/>
      <c r="P20" s="8"/>
      <c r="Q20" s="8"/>
      <c r="R20" s="8"/>
      <c r="T20" s="1">
        <v>16</v>
      </c>
      <c r="U20" s="13"/>
      <c r="V20" s="13"/>
      <c r="W20" s="9"/>
      <c r="X20" s="181"/>
      <c r="Y20" s="9"/>
      <c r="Z20" s="316">
        <f>0</f>
        <v>0</v>
      </c>
      <c r="AA20" s="316"/>
      <c r="AC20" s="1"/>
      <c r="AD20" s="8"/>
      <c r="AE20" s="8"/>
      <c r="AF20" s="8"/>
      <c r="AG20" s="8"/>
      <c r="AH20" s="9"/>
      <c r="AI20" s="316">
        <f t="shared" ref="AI20" si="3">AJ9*30/100</f>
        <v>600</v>
      </c>
      <c r="AJ20" s="316"/>
    </row>
    <row r="21" spans="1:36" ht="12.75" customHeight="1" x14ac:dyDescent="0.2">
      <c r="A21" s="78"/>
      <c r="B21" s="8"/>
      <c r="C21" s="8"/>
      <c r="D21" s="9"/>
      <c r="E21" s="9"/>
      <c r="F21" s="9"/>
      <c r="G21" s="324"/>
      <c r="H21" s="324"/>
      <c r="I21" s="86"/>
      <c r="J21" s="8"/>
      <c r="K21" s="8"/>
      <c r="L21" s="8"/>
      <c r="M21" s="8"/>
      <c r="N21" s="8"/>
      <c r="O21" s="8"/>
      <c r="P21" s="8"/>
      <c r="Q21" s="307" t="s">
        <v>24</v>
      </c>
      <c r="R21" s="307"/>
      <c r="T21" s="1">
        <v>17</v>
      </c>
      <c r="U21" s="13"/>
      <c r="V21" s="13"/>
      <c r="W21" s="9"/>
      <c r="X21" s="9"/>
      <c r="Y21" s="9"/>
      <c r="Z21" s="316"/>
      <c r="AA21" s="316"/>
      <c r="AC21" s="1"/>
      <c r="AD21" s="8"/>
      <c r="AE21" s="8"/>
      <c r="AF21" s="8"/>
      <c r="AG21" s="8"/>
      <c r="AH21" s="9"/>
      <c r="AI21" s="316"/>
      <c r="AJ21" s="316"/>
    </row>
    <row r="22" spans="1:36" ht="12.75" customHeight="1" x14ac:dyDescent="0.2">
      <c r="A22" s="78"/>
      <c r="B22" s="8"/>
      <c r="C22" s="8"/>
      <c r="D22" s="9"/>
      <c r="E22" s="9"/>
      <c r="F22" s="9"/>
      <c r="G22" s="76"/>
      <c r="H22" s="76"/>
      <c r="I22" s="86"/>
      <c r="J22" s="8"/>
      <c r="K22" s="8"/>
      <c r="L22" s="8"/>
      <c r="M22" s="8"/>
      <c r="N22" s="8"/>
      <c r="O22" s="8"/>
      <c r="P22" s="8"/>
      <c r="Q22" s="307"/>
      <c r="R22" s="307"/>
      <c r="S22" s="44"/>
      <c r="T22" s="14">
        <v>18</v>
      </c>
      <c r="U22" s="8"/>
      <c r="V22" s="8"/>
      <c r="W22" s="9"/>
      <c r="X22" s="9"/>
      <c r="Y22" s="9"/>
      <c r="Z22" s="8"/>
      <c r="AA22" s="8"/>
      <c r="AB22" s="3">
        <v>5000</v>
      </c>
      <c r="AC22" s="1"/>
      <c r="AD22" s="8"/>
      <c r="AE22" s="8"/>
      <c r="AF22" s="8"/>
      <c r="AG22" s="8"/>
      <c r="AH22" s="9"/>
      <c r="AI22" s="8"/>
      <c r="AJ22" s="8"/>
    </row>
    <row r="23" spans="1:36" ht="12.75" customHeight="1" x14ac:dyDescent="0.2">
      <c r="A23" s="78"/>
      <c r="B23" s="8"/>
      <c r="C23" s="8"/>
      <c r="D23" s="9"/>
      <c r="E23" s="9"/>
      <c r="F23" s="9"/>
      <c r="G23" s="76"/>
      <c r="H23" s="76"/>
      <c r="I23" s="86"/>
      <c r="J23" s="8"/>
      <c r="K23" s="8"/>
      <c r="L23" s="8"/>
      <c r="M23" s="8"/>
      <c r="N23" s="8"/>
      <c r="O23" s="8"/>
      <c r="P23" s="8"/>
      <c r="Q23" s="316">
        <f>Q13+Q18</f>
        <v>12500</v>
      </c>
      <c r="R23" s="316"/>
      <c r="S23" s="44"/>
      <c r="T23" s="14">
        <v>19</v>
      </c>
      <c r="U23" s="8"/>
      <c r="V23" s="8"/>
      <c r="W23" s="9"/>
      <c r="X23" s="9"/>
      <c r="Y23" s="9"/>
      <c r="Z23" s="8"/>
      <c r="AA23" s="8"/>
      <c r="AB23" s="3">
        <v>3000</v>
      </c>
      <c r="AC23" s="1"/>
      <c r="AD23" s="8"/>
      <c r="AE23" s="8"/>
      <c r="AF23" s="8"/>
      <c r="AG23" s="8"/>
      <c r="AH23" s="9"/>
      <c r="AI23" s="8"/>
      <c r="AJ23" s="8"/>
    </row>
    <row r="24" spans="1:36" ht="12.75" customHeight="1" x14ac:dyDescent="0.2">
      <c r="A24" s="85"/>
      <c r="G24" s="325" t="s">
        <v>24</v>
      </c>
      <c r="H24" s="325"/>
      <c r="I24" s="86"/>
      <c r="J24" s="8"/>
      <c r="K24" s="8"/>
      <c r="L24" s="8"/>
      <c r="M24" s="8"/>
      <c r="N24" s="8"/>
      <c r="O24" s="8"/>
      <c r="P24" s="8"/>
      <c r="Q24" s="316"/>
      <c r="R24" s="316"/>
      <c r="T24" s="1">
        <v>20</v>
      </c>
      <c r="U24" s="8"/>
      <c r="V24" s="8"/>
      <c r="W24" s="9"/>
      <c r="X24" s="9"/>
      <c r="Y24" s="8"/>
      <c r="Z24" s="307" t="s">
        <v>24</v>
      </c>
      <c r="AA24" s="307"/>
      <c r="AC24" s="9"/>
      <c r="AD24" s="8"/>
      <c r="AE24" s="8"/>
      <c r="AF24" s="8"/>
      <c r="AG24" s="8"/>
      <c r="AH24" s="9"/>
      <c r="AI24" s="307" t="s">
        <v>24</v>
      </c>
      <c r="AJ24" s="307"/>
    </row>
    <row r="25" spans="1:36" ht="12.75" customHeight="1" x14ac:dyDescent="0.2">
      <c r="A25" s="85"/>
      <c r="G25" s="325"/>
      <c r="H25" s="325"/>
      <c r="I25" s="86"/>
      <c r="J25" s="8"/>
      <c r="K25" s="8"/>
      <c r="L25" s="8"/>
      <c r="M25" s="8"/>
      <c r="N25" s="8"/>
      <c r="O25" s="8"/>
      <c r="P25" s="8"/>
      <c r="Q25" s="8"/>
      <c r="R25" s="8"/>
      <c r="T25" s="1">
        <v>21</v>
      </c>
      <c r="U25" s="8"/>
      <c r="V25" s="8"/>
      <c r="W25" s="8"/>
      <c r="X25" s="8"/>
      <c r="Y25" s="8"/>
      <c r="Z25" s="307"/>
      <c r="AA25" s="307"/>
      <c r="AC25" s="9"/>
      <c r="AD25" s="8"/>
      <c r="AE25" s="8"/>
      <c r="AF25" s="8"/>
      <c r="AG25" s="8"/>
      <c r="AH25" s="9"/>
      <c r="AI25" s="307"/>
      <c r="AJ25" s="307"/>
    </row>
    <row r="26" spans="1:36" ht="12.75" customHeight="1" x14ac:dyDescent="0.2">
      <c r="A26" s="9"/>
      <c r="G26" s="316">
        <f>G14+G20</f>
        <v>6370</v>
      </c>
      <c r="H26" s="316"/>
      <c r="I26" s="86"/>
      <c r="J26" s="8"/>
      <c r="K26" s="8"/>
      <c r="L26" s="8"/>
      <c r="M26" s="8"/>
      <c r="N26" s="8"/>
      <c r="O26" s="8"/>
      <c r="P26" s="8"/>
      <c r="Q26" s="309" t="s">
        <v>48</v>
      </c>
      <c r="R26" s="309"/>
      <c r="T26" s="1">
        <v>22</v>
      </c>
      <c r="U26" s="8"/>
      <c r="V26" s="8"/>
      <c r="W26" s="8"/>
      <c r="X26" s="8"/>
      <c r="Y26" s="8"/>
      <c r="Z26" s="316">
        <f>Z14+Z20</f>
        <v>19000</v>
      </c>
      <c r="AA26" s="316"/>
      <c r="AC26" s="9"/>
      <c r="AD26" s="8"/>
      <c r="AE26" s="8"/>
      <c r="AF26" s="8"/>
      <c r="AG26" s="8"/>
      <c r="AH26" s="9"/>
      <c r="AI26" s="316">
        <f t="shared" ref="AI26" si="4">AI14+AI20</f>
        <v>2000</v>
      </c>
      <c r="AJ26" s="316"/>
    </row>
    <row r="27" spans="1:36" ht="12.75" customHeight="1" x14ac:dyDescent="0.2">
      <c r="A27" s="8"/>
      <c r="G27" s="316"/>
      <c r="H27" s="316"/>
      <c r="I27" s="86"/>
      <c r="J27" s="8"/>
      <c r="K27" s="8"/>
      <c r="L27" s="8"/>
      <c r="M27" s="8"/>
      <c r="N27" s="8"/>
      <c r="O27" s="8"/>
      <c r="P27" s="8"/>
      <c r="Q27" s="309"/>
      <c r="R27" s="309"/>
      <c r="T27" s="1">
        <v>23</v>
      </c>
      <c r="U27" s="8"/>
      <c r="V27" s="8"/>
      <c r="W27" s="8"/>
      <c r="X27" s="8"/>
      <c r="Y27" s="8"/>
      <c r="Z27" s="316"/>
      <c r="AA27" s="316"/>
      <c r="AC27" s="8"/>
      <c r="AD27" s="8"/>
      <c r="AE27" s="8"/>
      <c r="AF27" s="8"/>
      <c r="AG27" s="8"/>
      <c r="AH27" s="9"/>
      <c r="AI27" s="316"/>
      <c r="AJ27" s="316"/>
    </row>
    <row r="28" spans="1:36" ht="12.75" customHeight="1" x14ac:dyDescent="0.2">
      <c r="A28" s="8"/>
      <c r="G28" s="8"/>
      <c r="H28" s="8"/>
      <c r="I28" s="86"/>
      <c r="J28" s="8"/>
      <c r="K28" s="8"/>
      <c r="L28" s="8"/>
      <c r="M28" s="8"/>
      <c r="N28" s="8"/>
      <c r="O28" s="8"/>
      <c r="P28" s="8"/>
      <c r="Q28" s="316">
        <f>S30+S31+S29+S28+S27</f>
        <v>12000</v>
      </c>
      <c r="R28" s="316"/>
      <c r="S28" s="8">
        <v>3000</v>
      </c>
      <c r="T28" s="14">
        <v>24</v>
      </c>
      <c r="U28" s="8"/>
      <c r="V28" s="8"/>
      <c r="W28" s="8"/>
      <c r="X28" s="8"/>
      <c r="Y28" s="8"/>
      <c r="Z28" s="8"/>
      <c r="AA28" s="8"/>
      <c r="AC28" s="8"/>
      <c r="AD28" s="8"/>
      <c r="AE28" s="8"/>
      <c r="AF28" s="8"/>
      <c r="AG28" s="8"/>
      <c r="AH28" s="9"/>
      <c r="AI28" s="8"/>
      <c r="AJ28" s="8"/>
    </row>
    <row r="29" spans="1:36" ht="12.75" customHeight="1" x14ac:dyDescent="0.2">
      <c r="A29" s="8"/>
      <c r="G29" s="318" t="s">
        <v>48</v>
      </c>
      <c r="H29" s="319"/>
      <c r="I29" s="86"/>
      <c r="J29" s="8"/>
      <c r="K29" s="8"/>
      <c r="L29" s="8"/>
      <c r="M29" s="8"/>
      <c r="N29" s="8"/>
      <c r="O29" s="8"/>
      <c r="P29" s="8"/>
      <c r="Q29" s="316"/>
      <c r="R29" s="316"/>
      <c r="S29" s="8">
        <v>500</v>
      </c>
      <c r="T29" s="8"/>
      <c r="U29" s="8"/>
      <c r="V29" s="8"/>
      <c r="W29" s="8"/>
      <c r="X29" s="8"/>
      <c r="Y29" s="8"/>
      <c r="Z29" s="318" t="s">
        <v>48</v>
      </c>
      <c r="AA29" s="319"/>
      <c r="AC29" s="8"/>
      <c r="AD29" s="8"/>
      <c r="AE29" s="8"/>
      <c r="AF29" s="9"/>
      <c r="AG29" s="9"/>
      <c r="AH29" s="9"/>
      <c r="AI29" s="318" t="s">
        <v>48</v>
      </c>
      <c r="AJ29" s="319"/>
    </row>
    <row r="30" spans="1:36" ht="12.75" customHeight="1" x14ac:dyDescent="0.2">
      <c r="A30" s="8"/>
      <c r="G30" s="320"/>
      <c r="H30" s="321"/>
      <c r="I30" s="86">
        <v>2500</v>
      </c>
      <c r="J30" s="8"/>
      <c r="K30" s="8"/>
      <c r="L30" s="8"/>
      <c r="M30" s="8"/>
      <c r="N30" s="8"/>
      <c r="O30" s="8"/>
      <c r="P30" s="8"/>
      <c r="Q30" s="8"/>
      <c r="R30" s="8"/>
      <c r="S30" s="8">
        <v>2500</v>
      </c>
      <c r="T30" s="8"/>
      <c r="Z30" s="320"/>
      <c r="AA30" s="321"/>
      <c r="AC30" s="8"/>
      <c r="AD30" s="13"/>
      <c r="AE30" s="13"/>
      <c r="AF30" s="9"/>
      <c r="AG30" s="9"/>
      <c r="AH30" s="9"/>
      <c r="AI30" s="320"/>
      <c r="AJ30" s="321"/>
    </row>
    <row r="31" spans="1:36" ht="12.75" customHeight="1" x14ac:dyDescent="0.2">
      <c r="A31" s="8"/>
      <c r="G31" s="316">
        <f>I30+I31</f>
        <v>3500</v>
      </c>
      <c r="H31" s="316"/>
      <c r="I31" s="86">
        <v>1000</v>
      </c>
      <c r="J31" s="8"/>
      <c r="K31" s="8"/>
      <c r="L31" s="8"/>
      <c r="M31" s="8"/>
      <c r="N31" s="8"/>
      <c r="O31" s="8"/>
      <c r="P31" s="8"/>
      <c r="Q31" s="309" t="s">
        <v>49</v>
      </c>
      <c r="R31" s="309"/>
      <c r="S31" s="8">
        <v>6000</v>
      </c>
      <c r="T31" s="8"/>
      <c r="Z31" s="316">
        <v>11000</v>
      </c>
      <c r="AA31" s="316"/>
      <c r="AC31" s="8"/>
      <c r="AD31" s="8"/>
      <c r="AE31" s="8"/>
      <c r="AF31" s="8"/>
      <c r="AG31" s="8"/>
      <c r="AH31" s="9"/>
      <c r="AI31" s="316">
        <v>0</v>
      </c>
      <c r="AJ31" s="316"/>
    </row>
    <row r="32" spans="1:36" ht="12.75" customHeight="1" x14ac:dyDescent="0.2">
      <c r="A32" s="8"/>
      <c r="G32" s="316"/>
      <c r="H32" s="316"/>
      <c r="I32" s="86"/>
      <c r="J32" s="8"/>
      <c r="K32" s="8"/>
      <c r="L32" s="8"/>
      <c r="M32" s="8"/>
      <c r="N32" s="8"/>
      <c r="O32" s="8"/>
      <c r="P32" s="8"/>
      <c r="Q32" s="309"/>
      <c r="R32" s="309"/>
      <c r="S32" s="8"/>
      <c r="T32" s="8"/>
      <c r="Z32" s="316"/>
      <c r="AA32" s="316"/>
      <c r="AC32" s="8"/>
      <c r="AD32" s="13"/>
      <c r="AE32" s="13"/>
      <c r="AF32" s="9"/>
      <c r="AG32" s="181"/>
      <c r="AH32" s="9"/>
      <c r="AI32" s="316"/>
      <c r="AJ32" s="316"/>
    </row>
    <row r="33" spans="1:42" ht="12.75" customHeight="1" x14ac:dyDescent="0.2">
      <c r="A33" s="8"/>
      <c r="G33" s="8"/>
      <c r="H33" s="8"/>
      <c r="I33" s="86"/>
      <c r="J33" s="8"/>
      <c r="K33" s="388" t="s">
        <v>50</v>
      </c>
      <c r="L33" s="389"/>
      <c r="M33" s="68"/>
      <c r="Q33" s="316">
        <f>Q13-Q28</f>
        <v>-3250</v>
      </c>
      <c r="R33" s="316"/>
      <c r="S33" s="8"/>
      <c r="Z33" s="46"/>
      <c r="AA33" s="46"/>
      <c r="AC33" s="8"/>
      <c r="AD33" s="13"/>
      <c r="AE33" s="13"/>
      <c r="AF33" s="9"/>
      <c r="AG33" s="9"/>
      <c r="AH33" s="9"/>
      <c r="AI33" s="8"/>
      <c r="AJ33" s="8"/>
    </row>
    <row r="34" spans="1:42" ht="12.75" customHeight="1" x14ac:dyDescent="0.2">
      <c r="A34" s="8"/>
      <c r="B34" s="182"/>
      <c r="C34" s="182"/>
      <c r="D34" s="182"/>
      <c r="E34" s="182"/>
      <c r="F34" s="182"/>
      <c r="G34" s="309" t="s">
        <v>49</v>
      </c>
      <c r="H34" s="309"/>
      <c r="I34" s="86"/>
      <c r="K34" s="293"/>
      <c r="L34" s="294"/>
      <c r="M34" s="68"/>
      <c r="Q34" s="46"/>
      <c r="R34" s="46"/>
      <c r="Z34" s="309" t="s">
        <v>49</v>
      </c>
      <c r="AA34" s="309"/>
      <c r="AC34" s="8"/>
      <c r="AD34" s="8"/>
      <c r="AE34" s="8"/>
      <c r="AF34" s="9"/>
      <c r="AG34" s="9"/>
      <c r="AH34" s="9"/>
      <c r="AI34" s="309" t="s">
        <v>49</v>
      </c>
      <c r="AJ34" s="309"/>
    </row>
    <row r="35" spans="1:42" ht="12.75" customHeight="1" x14ac:dyDescent="0.2">
      <c r="A35" s="8"/>
      <c r="B35" s="182"/>
      <c r="C35" s="182"/>
      <c r="D35" s="182"/>
      <c r="E35" s="182"/>
      <c r="F35" s="182"/>
      <c r="G35" s="309"/>
      <c r="H35" s="309"/>
      <c r="I35" s="86"/>
      <c r="K35" s="307" t="s">
        <v>24</v>
      </c>
      <c r="L35" s="307"/>
      <c r="M35" s="69"/>
      <c r="Z35" s="309"/>
      <c r="AA35" s="309"/>
      <c r="AC35" s="8"/>
      <c r="AD35" s="8"/>
      <c r="AE35" s="8"/>
      <c r="AF35" s="9"/>
      <c r="AG35" s="9"/>
      <c r="AH35" s="9"/>
      <c r="AI35" s="309"/>
      <c r="AJ35" s="309"/>
    </row>
    <row r="36" spans="1:42" ht="12.75" customHeight="1" x14ac:dyDescent="0.2">
      <c r="A36" s="8"/>
      <c r="G36" s="317">
        <f>G14-G31</f>
        <v>1400</v>
      </c>
      <c r="H36" s="323"/>
      <c r="I36" s="86"/>
      <c r="J36" s="64"/>
      <c r="K36" s="307"/>
      <c r="L36" s="307"/>
      <c r="M36" s="69"/>
      <c r="Z36" s="312">
        <f>Z14-Z31</f>
        <v>8000</v>
      </c>
      <c r="AA36" s="313"/>
      <c r="AC36" s="8"/>
      <c r="AD36" s="8"/>
      <c r="AE36" s="8"/>
      <c r="AF36" s="9"/>
      <c r="AG36" s="9"/>
      <c r="AH36" s="9"/>
      <c r="AI36" s="180">
        <f>AI14-AI31</f>
        <v>1400</v>
      </c>
      <c r="AJ36" s="180"/>
    </row>
    <row r="37" spans="1:42" ht="12.75" customHeight="1" x14ac:dyDescent="0.2">
      <c r="A37" s="8"/>
      <c r="B37" s="182"/>
      <c r="C37" s="182"/>
      <c r="D37" s="182"/>
      <c r="E37" s="182"/>
      <c r="F37" s="182"/>
      <c r="I37" s="102"/>
      <c r="J37" s="64"/>
      <c r="K37" s="26" t="s">
        <v>37</v>
      </c>
      <c r="L37" s="27">
        <f>SUM(E41:E53)</f>
        <v>31700</v>
      </c>
      <c r="M37" s="70"/>
      <c r="Z37" s="314"/>
      <c r="AA37" s="315"/>
    </row>
    <row r="38" spans="1:42" ht="12.75" customHeight="1" x14ac:dyDescent="0.2">
      <c r="A38" s="8"/>
      <c r="B38" s="182"/>
      <c r="C38" s="182"/>
      <c r="D38" s="182"/>
      <c r="E38" s="182"/>
      <c r="F38" s="182"/>
      <c r="I38" s="102"/>
      <c r="J38" s="64"/>
      <c r="K38" s="26" t="s">
        <v>39</v>
      </c>
      <c r="L38" s="27">
        <f>SUM(F41:F54)</f>
        <v>22700</v>
      </c>
      <c r="M38" s="70"/>
    </row>
    <row r="39" spans="1:42" x14ac:dyDescent="0.2">
      <c r="B39" s="182"/>
      <c r="C39" s="182"/>
      <c r="D39" s="182"/>
      <c r="E39" s="182"/>
      <c r="F39" s="182"/>
      <c r="I39" s="86"/>
      <c r="J39" s="5" t="s">
        <v>4</v>
      </c>
      <c r="K39" s="8"/>
      <c r="L39" s="8"/>
    </row>
    <row r="40" spans="1:42" ht="12.75" customHeight="1" x14ac:dyDescent="0.2">
      <c r="A40" s="182" t="s">
        <v>0</v>
      </c>
      <c r="B40" s="5" t="s">
        <v>2</v>
      </c>
      <c r="C40" s="5" t="s">
        <v>51</v>
      </c>
      <c r="D40" s="5" t="s">
        <v>3</v>
      </c>
      <c r="E40" s="5" t="s">
        <v>5</v>
      </c>
      <c r="F40" s="5" t="s">
        <v>52</v>
      </c>
      <c r="G40" s="182"/>
      <c r="H40" s="182"/>
      <c r="I40" s="86"/>
      <c r="J40" s="8"/>
      <c r="K40" s="8"/>
      <c r="L40" s="8"/>
      <c r="Q40" s="2"/>
      <c r="R40" s="304" t="s">
        <v>0</v>
      </c>
    </row>
    <row r="41" spans="1:42" ht="12.75" customHeight="1" x14ac:dyDescent="0.2">
      <c r="A41" s="182"/>
      <c r="B41" s="52" t="s">
        <v>53</v>
      </c>
      <c r="C41" s="13"/>
      <c r="D41" s="9" t="s">
        <v>54</v>
      </c>
      <c r="E41" s="9">
        <v>1000</v>
      </c>
      <c r="F41" s="181">
        <v>1000</v>
      </c>
      <c r="G41" s="182"/>
      <c r="H41" s="182"/>
      <c r="J41" s="8"/>
      <c r="K41" s="309" t="s">
        <v>46</v>
      </c>
      <c r="L41" s="309"/>
      <c r="M41" s="71"/>
      <c r="Q41" s="2"/>
      <c r="R41" s="304"/>
    </row>
    <row r="42" spans="1:42" ht="12.75" customHeight="1" x14ac:dyDescent="0.2">
      <c r="A42" s="182"/>
      <c r="B42" s="8" t="s">
        <v>58</v>
      </c>
      <c r="C42" s="8"/>
      <c r="D42" s="9" t="s">
        <v>59</v>
      </c>
      <c r="E42" s="9">
        <v>1000</v>
      </c>
      <c r="F42" s="9">
        <v>1000</v>
      </c>
      <c r="G42" s="182"/>
      <c r="H42" s="182"/>
      <c r="J42" s="8"/>
      <c r="K42" s="309"/>
      <c r="L42" s="309"/>
      <c r="M42" s="71"/>
      <c r="Q42" s="2"/>
      <c r="R42" s="304"/>
    </row>
    <row r="43" spans="1:42" ht="12.75" customHeight="1" x14ac:dyDescent="0.2">
      <c r="B43" s="23" t="s">
        <v>60</v>
      </c>
      <c r="C43" s="13"/>
      <c r="D43" s="9" t="s">
        <v>61</v>
      </c>
      <c r="E43" s="9">
        <v>1600</v>
      </c>
      <c r="F43" s="181">
        <v>1600</v>
      </c>
      <c r="G43" s="5" t="s">
        <v>55</v>
      </c>
      <c r="H43" s="5" t="s">
        <v>56</v>
      </c>
      <c r="I43" s="45"/>
      <c r="J43" s="8"/>
      <c r="K43" s="312">
        <f>L38*70/100</f>
        <v>15890</v>
      </c>
      <c r="L43" s="313"/>
      <c r="M43" s="72"/>
      <c r="R43" s="5" t="s">
        <v>1</v>
      </c>
    </row>
    <row r="44" spans="1:42" ht="12.75" customHeight="1" x14ac:dyDescent="0.2">
      <c r="B44" s="13" t="s">
        <v>62</v>
      </c>
      <c r="C44" s="13"/>
      <c r="D44" s="9" t="s">
        <v>63</v>
      </c>
      <c r="E44" s="9">
        <v>1000</v>
      </c>
      <c r="F44" s="9">
        <v>1000</v>
      </c>
      <c r="G44" s="181"/>
      <c r="H44" s="8"/>
      <c r="J44" s="33"/>
      <c r="K44" s="314"/>
      <c r="L44" s="315"/>
      <c r="M44" s="72"/>
      <c r="R44" s="1">
        <v>1</v>
      </c>
    </row>
    <row r="45" spans="1:42" ht="12.75" customHeight="1" x14ac:dyDescent="0.2">
      <c r="B45" s="13" t="s">
        <v>65</v>
      </c>
      <c r="C45" s="13"/>
      <c r="D45" s="9" t="s">
        <v>66</v>
      </c>
      <c r="E45" s="9">
        <v>2100</v>
      </c>
      <c r="F45" s="9">
        <v>2100</v>
      </c>
      <c r="G45" s="181"/>
      <c r="H45" s="8"/>
      <c r="J45" s="33"/>
      <c r="K45" s="8"/>
      <c r="L45" s="8"/>
      <c r="R45" s="1">
        <v>2</v>
      </c>
    </row>
    <row r="46" spans="1:42" ht="12.75" customHeight="1" x14ac:dyDescent="0.2">
      <c r="A46" s="5" t="s">
        <v>1</v>
      </c>
      <c r="B46" s="8" t="s">
        <v>58</v>
      </c>
      <c r="C46" s="8"/>
      <c r="D46" s="9" t="s">
        <v>59</v>
      </c>
      <c r="E46" s="9">
        <v>2000</v>
      </c>
      <c r="F46" s="9">
        <v>2000</v>
      </c>
      <c r="G46" s="181"/>
      <c r="H46" s="8"/>
      <c r="J46" s="8"/>
      <c r="K46" s="8"/>
      <c r="L46" s="8"/>
      <c r="R46" s="1">
        <v>3</v>
      </c>
    </row>
    <row r="47" spans="1:42" ht="12.75" customHeight="1" x14ac:dyDescent="0.2">
      <c r="A47" s="1">
        <v>1</v>
      </c>
      <c r="B47" s="13"/>
      <c r="C47" s="13"/>
      <c r="D47" s="9"/>
      <c r="E47" s="9"/>
      <c r="F47" s="9"/>
      <c r="G47" s="9"/>
      <c r="H47" s="8"/>
      <c r="J47" s="8"/>
      <c r="K47" s="309" t="s">
        <v>47</v>
      </c>
      <c r="L47" s="309"/>
      <c r="M47" s="71"/>
      <c r="R47" s="1">
        <v>4</v>
      </c>
      <c r="AJ47" s="53"/>
      <c r="AK47" s="54"/>
      <c r="AL47" s="54"/>
      <c r="AM47" s="53"/>
      <c r="AN47" s="53"/>
    </row>
    <row r="48" spans="1:42" ht="12.75" customHeight="1" x14ac:dyDescent="0.2">
      <c r="A48" s="1">
        <v>2</v>
      </c>
      <c r="B48" s="8" t="s">
        <v>72</v>
      </c>
      <c r="C48" s="8"/>
      <c r="D48" s="8"/>
      <c r="E48" s="8"/>
      <c r="F48" s="9"/>
      <c r="G48" s="9"/>
      <c r="H48" s="8"/>
      <c r="I48" s="45"/>
      <c r="J48" s="8"/>
      <c r="K48" s="309"/>
      <c r="L48" s="309"/>
      <c r="M48" s="71"/>
      <c r="R48" s="1">
        <v>5</v>
      </c>
      <c r="AF48" s="302" t="s">
        <v>0</v>
      </c>
      <c r="AG48" s="302"/>
      <c r="AH48" s="302"/>
      <c r="AI48" s="302"/>
      <c r="AJ48" s="302"/>
      <c r="AK48" s="302"/>
      <c r="AL48" s="302"/>
      <c r="AM48" s="302"/>
      <c r="AN48" s="302"/>
      <c r="AO48" s="302"/>
      <c r="AP48" s="289"/>
    </row>
    <row r="49" spans="1:42" ht="12.75" customHeight="1" x14ac:dyDescent="0.2">
      <c r="A49" s="1">
        <v>3</v>
      </c>
      <c r="B49" s="13" t="s">
        <v>73</v>
      </c>
      <c r="C49" s="13"/>
      <c r="D49" s="9" t="s">
        <v>74</v>
      </c>
      <c r="E49" s="9">
        <v>7000</v>
      </c>
      <c r="F49" s="9">
        <v>4000</v>
      </c>
      <c r="G49" s="181"/>
      <c r="H49" s="8"/>
      <c r="J49" s="8"/>
      <c r="K49" s="316">
        <f>L38*30/100</f>
        <v>6810</v>
      </c>
      <c r="L49" s="316"/>
      <c r="M49" s="72"/>
      <c r="Q49" s="36"/>
      <c r="R49" s="34">
        <v>6</v>
      </c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289"/>
    </row>
    <row r="50" spans="1:42" ht="12.75" customHeight="1" x14ac:dyDescent="0.2">
      <c r="A50" s="1">
        <v>4</v>
      </c>
      <c r="B50" s="13" t="s">
        <v>76</v>
      </c>
      <c r="C50" s="13"/>
      <c r="D50" s="9" t="s">
        <v>74</v>
      </c>
      <c r="E50" s="9">
        <v>8000</v>
      </c>
      <c r="F50" s="9">
        <v>5000</v>
      </c>
      <c r="G50" s="181"/>
      <c r="H50" s="8"/>
      <c r="J50" s="58"/>
      <c r="K50" s="316"/>
      <c r="L50" s="316"/>
      <c r="M50" s="72"/>
      <c r="R50" s="1">
        <v>7</v>
      </c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290"/>
    </row>
    <row r="51" spans="1:42" ht="12.75" customHeight="1" x14ac:dyDescent="0.2">
      <c r="A51" s="1">
        <v>5</v>
      </c>
      <c r="B51" s="13" t="s">
        <v>82</v>
      </c>
      <c r="C51" s="13"/>
      <c r="D51" s="9" t="s">
        <v>74</v>
      </c>
      <c r="E51" s="9">
        <v>8000</v>
      </c>
      <c r="F51" s="9">
        <v>5000</v>
      </c>
      <c r="G51" s="181"/>
      <c r="H51" s="8"/>
      <c r="J51" s="9"/>
      <c r="K51" s="8"/>
      <c r="L51" s="8"/>
      <c r="O51" s="3">
        <v>1000</v>
      </c>
      <c r="R51" s="1"/>
      <c r="AE51" s="5" t="s">
        <v>1</v>
      </c>
      <c r="AF51" s="5" t="s">
        <v>2</v>
      </c>
      <c r="AG51" s="5" t="s">
        <v>51</v>
      </c>
      <c r="AH51" s="5" t="s">
        <v>3</v>
      </c>
      <c r="AI51" s="5" t="s">
        <v>5</v>
      </c>
      <c r="AJ51" s="5" t="s">
        <v>52</v>
      </c>
      <c r="AK51" s="5" t="s">
        <v>55</v>
      </c>
      <c r="AL51" s="5" t="s">
        <v>56</v>
      </c>
      <c r="AM51" s="5" t="s">
        <v>57</v>
      </c>
      <c r="AN51" s="5" t="s">
        <v>4</v>
      </c>
      <c r="AO51" s="291" t="s">
        <v>75</v>
      </c>
      <c r="AP51" s="292"/>
    </row>
    <row r="52" spans="1:42" ht="12.75" customHeight="1" x14ac:dyDescent="0.2">
      <c r="A52" s="1">
        <v>6</v>
      </c>
      <c r="B52" s="8"/>
      <c r="C52" s="8"/>
      <c r="D52" s="8"/>
      <c r="E52" s="8"/>
      <c r="F52" s="9"/>
      <c r="G52" s="9">
        <f>E49-F49</f>
        <v>3000</v>
      </c>
      <c r="H52" s="8"/>
      <c r="J52" s="9"/>
      <c r="K52" s="8"/>
      <c r="L52" s="8"/>
      <c r="O52" s="3">
        <v>500</v>
      </c>
      <c r="R52" s="1"/>
      <c r="AE52" s="1">
        <v>1</v>
      </c>
      <c r="AF52" s="52" t="s">
        <v>80</v>
      </c>
      <c r="AG52" s="13" t="s">
        <v>81</v>
      </c>
      <c r="AH52" s="9" t="s">
        <v>67</v>
      </c>
      <c r="AI52" s="9">
        <v>1000</v>
      </c>
      <c r="AJ52" s="181">
        <v>1000</v>
      </c>
      <c r="AK52" s="181"/>
      <c r="AL52" s="8">
        <f t="shared" ref="AL52:AL74" si="5">AI52-AJ52</f>
        <v>0</v>
      </c>
      <c r="AM52" s="8"/>
      <c r="AN52" s="8"/>
      <c r="AO52" s="293"/>
      <c r="AP52" s="294"/>
    </row>
    <row r="53" spans="1:42" ht="12.75" customHeight="1" x14ac:dyDescent="0.2">
      <c r="A53" s="1">
        <v>7</v>
      </c>
      <c r="B53" s="8"/>
      <c r="C53" s="8"/>
      <c r="D53" s="8"/>
      <c r="E53" s="8"/>
      <c r="F53" s="9"/>
      <c r="G53" s="9">
        <f>E50-F50</f>
        <v>3000</v>
      </c>
      <c r="H53" s="8"/>
      <c r="J53" s="9"/>
      <c r="K53" s="307" t="s">
        <v>24</v>
      </c>
      <c r="L53" s="307"/>
      <c r="M53" s="69"/>
      <c r="N53" s="3" t="s">
        <v>87</v>
      </c>
      <c r="O53" s="3">
        <v>2000</v>
      </c>
      <c r="R53" s="1"/>
      <c r="AE53" s="1">
        <v>2</v>
      </c>
      <c r="AF53" s="8" t="s">
        <v>83</v>
      </c>
      <c r="AG53" s="8"/>
      <c r="AH53" s="9" t="s">
        <v>67</v>
      </c>
      <c r="AI53" s="9">
        <v>1000</v>
      </c>
      <c r="AJ53" s="9">
        <v>1000</v>
      </c>
      <c r="AK53" s="181"/>
      <c r="AL53" s="8">
        <f t="shared" si="5"/>
        <v>0</v>
      </c>
      <c r="AM53" s="8"/>
      <c r="AN53" s="8"/>
      <c r="AO53" s="307" t="s">
        <v>24</v>
      </c>
      <c r="AP53" s="307"/>
    </row>
    <row r="54" spans="1:42" ht="12.75" customHeight="1" x14ac:dyDescent="0.2">
      <c r="A54" s="1">
        <v>8</v>
      </c>
      <c r="B54" s="8"/>
      <c r="C54" s="8"/>
      <c r="D54" s="8"/>
      <c r="E54" s="8"/>
      <c r="F54" s="9"/>
      <c r="G54" s="9">
        <f>E51-F51</f>
        <v>3000</v>
      </c>
      <c r="H54" s="9"/>
      <c r="J54" s="9"/>
      <c r="K54" s="307"/>
      <c r="L54" s="307"/>
      <c r="M54" s="69"/>
      <c r="N54" s="3" t="s">
        <v>88</v>
      </c>
      <c r="O54" s="3">
        <v>1000</v>
      </c>
      <c r="R54" s="1"/>
      <c r="AE54" s="1">
        <v>3</v>
      </c>
      <c r="AF54" s="23" t="s">
        <v>84</v>
      </c>
      <c r="AG54" s="13"/>
      <c r="AH54" s="9" t="s">
        <v>67</v>
      </c>
      <c r="AI54" s="9">
        <v>1000</v>
      </c>
      <c r="AJ54" s="181">
        <v>1000</v>
      </c>
      <c r="AK54" s="181"/>
      <c r="AL54" s="8">
        <f t="shared" si="5"/>
        <v>0</v>
      </c>
      <c r="AM54" s="8"/>
      <c r="AN54" s="8"/>
      <c r="AO54" s="307"/>
      <c r="AP54" s="307"/>
    </row>
    <row r="55" spans="1:42" ht="12.75" customHeight="1" x14ac:dyDescent="0.2">
      <c r="A55" s="1">
        <v>9</v>
      </c>
      <c r="B55" s="8"/>
      <c r="C55" s="8"/>
      <c r="D55" s="8"/>
      <c r="E55" s="8"/>
      <c r="F55" s="9"/>
      <c r="G55" s="181"/>
      <c r="H55" s="9"/>
      <c r="I55" s="182"/>
      <c r="J55" s="9"/>
      <c r="K55" s="316">
        <f>K43+K49</f>
        <v>22700</v>
      </c>
      <c r="L55" s="316"/>
      <c r="M55" s="72"/>
      <c r="O55" s="3">
        <v>2000</v>
      </c>
      <c r="R55" s="1"/>
      <c r="AE55" s="1">
        <v>4</v>
      </c>
      <c r="AF55" s="13" t="s">
        <v>85</v>
      </c>
      <c r="AG55" s="13"/>
      <c r="AH55" s="9" t="s">
        <v>67</v>
      </c>
      <c r="AI55" s="9">
        <v>1000</v>
      </c>
      <c r="AJ55" s="9">
        <v>1000</v>
      </c>
      <c r="AK55" s="9"/>
      <c r="AL55" s="8">
        <f t="shared" si="5"/>
        <v>0</v>
      </c>
      <c r="AM55" s="8"/>
      <c r="AN55" s="8"/>
      <c r="AO55" s="26" t="s">
        <v>37</v>
      </c>
      <c r="AP55" s="27">
        <f>SUM(AI52:AI73)</f>
        <v>5000</v>
      </c>
    </row>
    <row r="56" spans="1:42" ht="12.75" customHeight="1" x14ac:dyDescent="0.2">
      <c r="A56" s="28">
        <v>11</v>
      </c>
      <c r="B56" s="8"/>
      <c r="C56" s="8"/>
      <c r="D56" s="8"/>
      <c r="E56" s="8"/>
      <c r="F56" s="9"/>
      <c r="G56" s="181"/>
      <c r="H56" s="9"/>
      <c r="I56" s="182"/>
      <c r="J56" s="9"/>
      <c r="K56" s="316"/>
      <c r="L56" s="316"/>
      <c r="M56" s="72"/>
      <c r="O56" s="3">
        <v>5000</v>
      </c>
      <c r="R56" s="9"/>
      <c r="AE56" s="1">
        <v>5</v>
      </c>
      <c r="AF56" s="13" t="s">
        <v>86</v>
      </c>
      <c r="AG56" s="13"/>
      <c r="AH56" s="9" t="s">
        <v>67</v>
      </c>
      <c r="AI56" s="9">
        <v>1000</v>
      </c>
      <c r="AJ56" s="9">
        <v>0</v>
      </c>
      <c r="AK56" s="9"/>
      <c r="AL56" s="8">
        <f t="shared" si="5"/>
        <v>1000</v>
      </c>
      <c r="AM56" s="8"/>
      <c r="AN56" s="33"/>
      <c r="AO56" s="26" t="s">
        <v>39</v>
      </c>
      <c r="AP56" s="27">
        <f>SUM(AJ52:AJ70)</f>
        <v>4000</v>
      </c>
    </row>
    <row r="57" spans="1:42" ht="12.75" customHeight="1" x14ac:dyDescent="0.2">
      <c r="A57" s="28">
        <v>12</v>
      </c>
      <c r="B57" s="8"/>
      <c r="C57" s="8"/>
      <c r="D57" s="8"/>
      <c r="E57" s="8"/>
      <c r="F57" s="9"/>
      <c r="G57" s="9"/>
      <c r="H57" s="9"/>
      <c r="I57" s="182"/>
      <c r="J57" s="9"/>
      <c r="K57" s="8"/>
      <c r="L57" s="8"/>
      <c r="O57" s="3">
        <v>600</v>
      </c>
      <c r="R57" s="9"/>
      <c r="AE57" s="1">
        <v>6</v>
      </c>
      <c r="AJ57" s="9"/>
      <c r="AK57" s="181"/>
      <c r="AL57" s="8">
        <f t="shared" si="5"/>
        <v>0</v>
      </c>
      <c r="AM57" s="8"/>
      <c r="AN57" s="33"/>
      <c r="AO57" s="26" t="s">
        <v>45</v>
      </c>
      <c r="AP57" s="27">
        <f>SUM(AL52:AL71)</f>
        <v>1000</v>
      </c>
    </row>
    <row r="58" spans="1:42" ht="12.75" customHeight="1" x14ac:dyDescent="0.2">
      <c r="A58" s="28">
        <v>13</v>
      </c>
      <c r="B58" s="8"/>
      <c r="C58" s="8"/>
      <c r="D58" s="8"/>
      <c r="E58" s="8"/>
      <c r="F58" s="9"/>
      <c r="G58" s="9"/>
      <c r="H58" s="9"/>
      <c r="I58" s="5" t="s">
        <v>57</v>
      </c>
      <c r="J58" s="9"/>
      <c r="K58" s="309" t="s">
        <v>48</v>
      </c>
      <c r="L58" s="309"/>
      <c r="M58" s="71"/>
      <c r="O58" s="3">
        <v>4500</v>
      </c>
      <c r="R58" s="9"/>
      <c r="AE58" s="1">
        <v>7</v>
      </c>
      <c r="AF58" s="13"/>
      <c r="AG58" s="13"/>
      <c r="AH58" s="9"/>
      <c r="AI58" s="9"/>
      <c r="AJ58" s="9"/>
      <c r="AK58" s="181"/>
      <c r="AL58" s="8">
        <f t="shared" si="5"/>
        <v>0</v>
      </c>
      <c r="AM58" s="8"/>
      <c r="AN58" s="8"/>
      <c r="AO58" s="8"/>
      <c r="AP58" s="8"/>
    </row>
    <row r="59" spans="1:42" ht="12.75" customHeight="1" x14ac:dyDescent="0.2">
      <c r="A59" s="60">
        <v>14</v>
      </c>
      <c r="B59" s="13"/>
      <c r="C59" s="13"/>
      <c r="D59" s="9"/>
      <c r="E59" s="181"/>
      <c r="F59" s="9"/>
      <c r="G59" s="9"/>
      <c r="H59" s="9"/>
      <c r="I59" s="8"/>
      <c r="J59" s="9"/>
      <c r="K59" s="309"/>
      <c r="L59" s="309"/>
      <c r="M59" s="71"/>
      <c r="O59" s="3">
        <f>SUM(O51:O58)</f>
        <v>16600</v>
      </c>
      <c r="R59" s="9"/>
      <c r="AE59" s="1">
        <v>8</v>
      </c>
      <c r="AF59" s="8"/>
      <c r="AG59" s="8"/>
      <c r="AH59" s="8"/>
      <c r="AI59" s="8"/>
      <c r="AJ59" s="9"/>
      <c r="AK59" s="181"/>
      <c r="AL59" s="8">
        <f t="shared" si="5"/>
        <v>0</v>
      </c>
      <c r="AM59" s="8"/>
      <c r="AN59" s="8"/>
      <c r="AO59" s="309" t="s">
        <v>46</v>
      </c>
      <c r="AP59" s="309"/>
    </row>
    <row r="60" spans="1:42" ht="12.75" customHeight="1" x14ac:dyDescent="0.2">
      <c r="A60" s="60">
        <v>15</v>
      </c>
      <c r="B60" s="13"/>
      <c r="C60" s="13"/>
      <c r="D60" s="9"/>
      <c r="E60" s="9"/>
      <c r="F60" s="9"/>
      <c r="G60" s="9"/>
      <c r="H60" s="9"/>
      <c r="I60" s="8"/>
      <c r="J60" s="9"/>
      <c r="K60" s="316">
        <v>16600</v>
      </c>
      <c r="L60" s="316"/>
      <c r="M60" s="72"/>
      <c r="R60" s="9"/>
      <c r="AE60" s="1">
        <v>9</v>
      </c>
      <c r="AF60" s="8"/>
      <c r="AG60" s="8"/>
      <c r="AH60" s="8"/>
      <c r="AI60" s="8"/>
      <c r="AJ60" s="9"/>
      <c r="AK60" s="181"/>
      <c r="AL60" s="8">
        <f t="shared" si="5"/>
        <v>0</v>
      </c>
      <c r="AM60" s="8"/>
      <c r="AN60" s="8"/>
      <c r="AO60" s="309"/>
      <c r="AP60" s="309"/>
    </row>
    <row r="61" spans="1:42" ht="12.75" customHeight="1" x14ac:dyDescent="0.2">
      <c r="A61" s="60">
        <v>16</v>
      </c>
      <c r="B61" s="8"/>
      <c r="C61" s="8"/>
      <c r="D61" s="9"/>
      <c r="E61" s="9"/>
      <c r="F61" s="9"/>
      <c r="G61" s="9"/>
      <c r="H61" s="9"/>
      <c r="I61" s="8"/>
      <c r="J61" s="9"/>
      <c r="K61" s="316"/>
      <c r="L61" s="316"/>
      <c r="M61" s="72"/>
      <c r="R61" s="8"/>
      <c r="AE61" s="28">
        <v>11</v>
      </c>
      <c r="AF61" s="8"/>
      <c r="AG61" s="8"/>
      <c r="AH61" s="8"/>
      <c r="AI61" s="8"/>
      <c r="AJ61" s="9"/>
      <c r="AK61" s="181"/>
      <c r="AL61" s="8">
        <f t="shared" si="5"/>
        <v>0</v>
      </c>
      <c r="AM61" s="8"/>
      <c r="AN61" s="8"/>
      <c r="AO61" s="312">
        <f>AP56*70/100</f>
        <v>2800</v>
      </c>
      <c r="AP61" s="313"/>
    </row>
    <row r="62" spans="1:42" ht="12.75" customHeight="1" x14ac:dyDescent="0.2">
      <c r="A62" s="60">
        <v>17</v>
      </c>
      <c r="B62" s="8"/>
      <c r="C62" s="8"/>
      <c r="D62" s="9"/>
      <c r="E62" s="9"/>
      <c r="F62" s="9"/>
      <c r="G62" s="9"/>
      <c r="H62" s="181"/>
      <c r="I62" s="8"/>
      <c r="J62" s="9"/>
      <c r="K62" s="8"/>
      <c r="L62" s="8"/>
      <c r="R62" s="9"/>
      <c r="AE62" s="28">
        <v>12</v>
      </c>
      <c r="AF62" s="8"/>
      <c r="AG62" s="8"/>
      <c r="AH62" s="8"/>
      <c r="AI62" s="8"/>
      <c r="AJ62" s="9"/>
      <c r="AK62" s="181"/>
      <c r="AL62" s="8">
        <f t="shared" si="5"/>
        <v>0</v>
      </c>
      <c r="AM62" s="9"/>
      <c r="AN62" s="58"/>
      <c r="AO62" s="314"/>
      <c r="AP62" s="315"/>
    </row>
    <row r="63" spans="1:42" ht="12.75" customHeight="1" x14ac:dyDescent="0.2">
      <c r="A63" s="60"/>
      <c r="D63" s="9"/>
      <c r="E63" s="61"/>
      <c r="G63" s="9"/>
      <c r="H63" s="181"/>
      <c r="I63" s="8"/>
      <c r="K63" s="309" t="s">
        <v>49</v>
      </c>
      <c r="L63" s="309"/>
      <c r="M63" s="71"/>
      <c r="R63" s="9"/>
      <c r="AE63" s="28">
        <v>13</v>
      </c>
      <c r="AF63" s="8"/>
      <c r="AG63" s="8"/>
      <c r="AH63" s="8"/>
      <c r="AI63" s="8"/>
      <c r="AJ63" s="9"/>
      <c r="AK63" s="181"/>
      <c r="AL63" s="8">
        <f t="shared" si="5"/>
        <v>0</v>
      </c>
      <c r="AM63" s="59"/>
      <c r="AN63" s="9"/>
      <c r="AO63" s="8"/>
      <c r="AP63" s="8"/>
    </row>
    <row r="64" spans="1:42" ht="12.75" customHeight="1" x14ac:dyDescent="0.2">
      <c r="G64" s="183"/>
      <c r="I64" s="8"/>
      <c r="K64" s="309"/>
      <c r="L64" s="309"/>
      <c r="M64" s="71"/>
      <c r="R64" s="9"/>
      <c r="AE64" s="60">
        <v>14</v>
      </c>
      <c r="AF64" s="8"/>
      <c r="AG64" s="8"/>
      <c r="AH64" s="8"/>
      <c r="AI64" s="8"/>
      <c r="AJ64" s="9"/>
      <c r="AK64" s="181"/>
      <c r="AL64" s="8">
        <f t="shared" si="5"/>
        <v>0</v>
      </c>
      <c r="AM64" s="9"/>
      <c r="AN64" s="9"/>
      <c r="AO64" s="8"/>
      <c r="AP64" s="8"/>
    </row>
    <row r="65" spans="1:42" ht="12.75" customHeight="1" x14ac:dyDescent="0.2">
      <c r="A65" s="9"/>
      <c r="G65" s="9"/>
      <c r="H65" s="9"/>
      <c r="I65" s="8"/>
      <c r="K65" s="316">
        <f>K43-K60</f>
        <v>-710</v>
      </c>
      <c r="L65" s="316"/>
      <c r="M65" s="72"/>
      <c r="R65" s="9"/>
      <c r="AE65" s="60">
        <v>15</v>
      </c>
      <c r="AF65" s="8"/>
      <c r="AG65" s="8"/>
      <c r="AH65" s="8"/>
      <c r="AI65" s="8"/>
      <c r="AJ65" s="9"/>
      <c r="AK65" s="9"/>
      <c r="AL65" s="8">
        <f t="shared" si="5"/>
        <v>0</v>
      </c>
      <c r="AM65" s="9"/>
      <c r="AN65" s="9"/>
      <c r="AO65" s="309" t="s">
        <v>47</v>
      </c>
      <c r="AP65" s="309"/>
    </row>
    <row r="66" spans="1:42" ht="12.75" customHeight="1" x14ac:dyDescent="0.2">
      <c r="A66" s="9"/>
      <c r="G66" s="9"/>
      <c r="H66" s="9"/>
      <c r="I66" s="8"/>
      <c r="K66" s="316"/>
      <c r="L66" s="316"/>
      <c r="M66" s="72"/>
      <c r="R66" s="8"/>
      <c r="AE66" s="60">
        <v>16</v>
      </c>
      <c r="AF66" s="8"/>
      <c r="AG66" s="8"/>
      <c r="AH66" s="8"/>
      <c r="AI66" s="8"/>
      <c r="AJ66" s="9"/>
      <c r="AK66" s="9"/>
      <c r="AL66" s="8">
        <f t="shared" si="5"/>
        <v>0</v>
      </c>
      <c r="AM66" s="9"/>
      <c r="AN66" s="9"/>
      <c r="AO66" s="309"/>
      <c r="AP66" s="309"/>
    </row>
    <row r="67" spans="1:42" ht="12.75" customHeight="1" x14ac:dyDescent="0.2">
      <c r="A67" s="9"/>
      <c r="I67" s="8"/>
      <c r="R67" s="8"/>
      <c r="AE67" s="60">
        <v>17</v>
      </c>
      <c r="AF67" s="8"/>
      <c r="AG67" s="8"/>
      <c r="AH67" s="8"/>
      <c r="AI67" s="8"/>
      <c r="AJ67" s="9"/>
      <c r="AK67" s="9"/>
      <c r="AL67" s="8">
        <f t="shared" si="5"/>
        <v>0</v>
      </c>
      <c r="AM67" s="9"/>
      <c r="AN67" s="9"/>
      <c r="AO67" s="316">
        <f>AP56*30/100</f>
        <v>1200</v>
      </c>
      <c r="AP67" s="316"/>
    </row>
    <row r="68" spans="1:42" ht="12.75" customHeight="1" x14ac:dyDescent="0.2">
      <c r="A68" s="9"/>
      <c r="I68" s="8"/>
      <c r="R68" s="8"/>
      <c r="AE68" s="60"/>
      <c r="AF68" s="8"/>
      <c r="AG68" s="8"/>
      <c r="AH68" s="8"/>
      <c r="AI68" s="8"/>
      <c r="AJ68" s="9"/>
      <c r="AK68" s="9"/>
      <c r="AL68" s="8">
        <f t="shared" si="5"/>
        <v>0</v>
      </c>
      <c r="AM68" s="9"/>
      <c r="AN68" s="9"/>
      <c r="AO68" s="316"/>
      <c r="AP68" s="316"/>
    </row>
    <row r="69" spans="1:42" ht="12.75" customHeight="1" x14ac:dyDescent="0.2">
      <c r="I69" s="9"/>
      <c r="R69" s="8"/>
      <c r="AF69" s="8"/>
      <c r="AG69" s="8"/>
      <c r="AH69" s="8"/>
      <c r="AI69" s="8"/>
      <c r="AJ69" s="9"/>
      <c r="AK69" s="9"/>
      <c r="AL69" s="8">
        <f t="shared" si="5"/>
        <v>0</v>
      </c>
      <c r="AM69" s="9"/>
      <c r="AN69" s="9"/>
      <c r="AO69" s="8"/>
      <c r="AP69" s="8"/>
    </row>
    <row r="70" spans="1:42" ht="12.75" customHeight="1" x14ac:dyDescent="0.2">
      <c r="I70" s="59"/>
      <c r="R70" s="8"/>
      <c r="AE70" s="9"/>
      <c r="AF70" s="13"/>
      <c r="AG70" s="13"/>
      <c r="AH70" s="9"/>
      <c r="AI70" s="181"/>
      <c r="AJ70" s="9"/>
      <c r="AK70" s="9"/>
      <c r="AL70" s="8">
        <f t="shared" si="5"/>
        <v>0</v>
      </c>
      <c r="AM70" s="9"/>
      <c r="AN70" s="9"/>
      <c r="AO70" s="8"/>
      <c r="AP70" s="8"/>
    </row>
    <row r="71" spans="1:42" ht="12.75" customHeight="1" x14ac:dyDescent="0.2">
      <c r="I71" s="9"/>
      <c r="R71" s="8"/>
      <c r="AE71" s="9"/>
      <c r="AF71" s="13"/>
      <c r="AG71" s="13"/>
      <c r="AH71" s="9"/>
      <c r="AI71" s="9"/>
      <c r="AJ71" s="9"/>
      <c r="AK71" s="9"/>
      <c r="AL71" s="8">
        <f t="shared" si="5"/>
        <v>0</v>
      </c>
      <c r="AM71" s="9"/>
      <c r="AN71" s="9"/>
      <c r="AO71" s="307" t="s">
        <v>24</v>
      </c>
      <c r="AP71" s="307"/>
    </row>
    <row r="72" spans="1:42" ht="12.75" customHeight="1" x14ac:dyDescent="0.2">
      <c r="I72" s="9"/>
      <c r="R72" s="8"/>
      <c r="AE72" s="9"/>
      <c r="AF72" s="8"/>
      <c r="AG72" s="8"/>
      <c r="AH72" s="9"/>
      <c r="AI72" s="9"/>
      <c r="AJ72" s="9"/>
      <c r="AK72" s="183"/>
      <c r="AL72" s="8">
        <f t="shared" si="5"/>
        <v>0</v>
      </c>
      <c r="AN72" s="9"/>
      <c r="AO72" s="307"/>
      <c r="AP72" s="307"/>
    </row>
    <row r="73" spans="1:42" ht="12.75" customHeight="1" x14ac:dyDescent="0.2">
      <c r="I73" s="9"/>
      <c r="R73" s="8"/>
      <c r="AE73" s="9"/>
      <c r="AF73" s="8"/>
      <c r="AG73" s="8"/>
      <c r="AH73" s="9"/>
      <c r="AI73" s="9"/>
      <c r="AJ73" s="9"/>
      <c r="AK73" s="9"/>
      <c r="AL73" s="8">
        <f t="shared" si="5"/>
        <v>0</v>
      </c>
      <c r="AM73" s="9"/>
      <c r="AN73" s="9"/>
      <c r="AO73" s="316">
        <f>AO61+AO67</f>
        <v>4000</v>
      </c>
      <c r="AP73" s="316"/>
    </row>
    <row r="74" spans="1:42" ht="12.75" customHeight="1" x14ac:dyDescent="0.2">
      <c r="I74" s="9"/>
      <c r="R74" s="8"/>
      <c r="AH74" s="9"/>
      <c r="AI74" s="61"/>
      <c r="AK74" s="9"/>
      <c r="AL74" s="8">
        <f t="shared" si="5"/>
        <v>0</v>
      </c>
      <c r="AM74" s="9"/>
      <c r="AN74" s="9"/>
      <c r="AO74" s="316"/>
      <c r="AP74" s="316"/>
    </row>
    <row r="75" spans="1:42" ht="12.75" customHeight="1" x14ac:dyDescent="0.2">
      <c r="I75" s="9"/>
      <c r="R75" s="8"/>
      <c r="AO75" s="8"/>
      <c r="AP75" s="8"/>
    </row>
    <row r="76" spans="1:42" ht="12.75" customHeight="1" x14ac:dyDescent="0.2">
      <c r="I76" s="9"/>
      <c r="AO76" s="309" t="s">
        <v>48</v>
      </c>
      <c r="AP76" s="309"/>
    </row>
    <row r="77" spans="1:42" ht="12.75" customHeight="1" x14ac:dyDescent="0.2">
      <c r="I77" s="9"/>
      <c r="AO77" s="309"/>
      <c r="AP77" s="309"/>
    </row>
    <row r="78" spans="1:42" ht="12.75" customHeight="1" x14ac:dyDescent="0.2">
      <c r="I78" s="9"/>
      <c r="AO78" s="316">
        <v>0</v>
      </c>
      <c r="AP78" s="316"/>
    </row>
    <row r="79" spans="1:42" ht="12.75" customHeight="1" x14ac:dyDescent="0.2">
      <c r="AO79" s="316"/>
      <c r="AP79" s="316"/>
    </row>
    <row r="80" spans="1:42" ht="12.75" customHeight="1" x14ac:dyDescent="0.2">
      <c r="I80" s="9"/>
      <c r="AO80" s="8"/>
      <c r="AP80" s="8"/>
    </row>
    <row r="81" spans="9:42" ht="12.75" customHeight="1" x14ac:dyDescent="0.2">
      <c r="I81" s="9"/>
      <c r="AO81" s="309" t="s">
        <v>49</v>
      </c>
      <c r="AP81" s="309"/>
    </row>
    <row r="82" spans="9:42" ht="12.75" customHeight="1" x14ac:dyDescent="0.2">
      <c r="AO82" s="309"/>
      <c r="AP82" s="309"/>
    </row>
    <row r="83" spans="9:42" ht="12.75" customHeight="1" x14ac:dyDescent="0.2">
      <c r="AO83" s="316">
        <f>AO61-AO78</f>
        <v>2800</v>
      </c>
      <c r="AP83" s="316"/>
    </row>
    <row r="84" spans="9:42" ht="12.75" customHeight="1" x14ac:dyDescent="0.2">
      <c r="AO84" s="316"/>
      <c r="AP84" s="316"/>
    </row>
  </sheetData>
  <mergeCells count="79">
    <mergeCell ref="AO83:AP84"/>
    <mergeCell ref="AO67:AP68"/>
    <mergeCell ref="AO71:AP72"/>
    <mergeCell ref="AO73:AP74"/>
    <mergeCell ref="AO76:AP77"/>
    <mergeCell ref="AO78:AP79"/>
    <mergeCell ref="AO81:AP82"/>
    <mergeCell ref="K49:L50"/>
    <mergeCell ref="AO65:AP66"/>
    <mergeCell ref="AP48:AP50"/>
    <mergeCell ref="K53:L54"/>
    <mergeCell ref="AO51:AP52"/>
    <mergeCell ref="K55:L56"/>
    <mergeCell ref="AO53:AP54"/>
    <mergeCell ref="K58:L59"/>
    <mergeCell ref="AF48:AO50"/>
    <mergeCell ref="K60:L61"/>
    <mergeCell ref="AO59:AP60"/>
    <mergeCell ref="K63:L64"/>
    <mergeCell ref="AO61:AP62"/>
    <mergeCell ref="K65:L66"/>
    <mergeCell ref="K43:L44"/>
    <mergeCell ref="R40:R42"/>
    <mergeCell ref="Q26:R27"/>
    <mergeCell ref="Z29:AA30"/>
    <mergeCell ref="K47:L48"/>
    <mergeCell ref="AI34:AJ35"/>
    <mergeCell ref="AI29:AJ30"/>
    <mergeCell ref="AI31:AJ32"/>
    <mergeCell ref="G29:H30"/>
    <mergeCell ref="K41:L42"/>
    <mergeCell ref="Q28:R29"/>
    <mergeCell ref="Z31:AA32"/>
    <mergeCell ref="G36:H36"/>
    <mergeCell ref="Q33:R33"/>
    <mergeCell ref="Z36:AA37"/>
    <mergeCell ref="G31:H32"/>
    <mergeCell ref="K35:L36"/>
    <mergeCell ref="G34:H35"/>
    <mergeCell ref="Q31:R32"/>
    <mergeCell ref="Z34:AA35"/>
    <mergeCell ref="K33:L34"/>
    <mergeCell ref="G18:H19"/>
    <mergeCell ref="Q16:R17"/>
    <mergeCell ref="Z18:AA19"/>
    <mergeCell ref="AI18:AJ19"/>
    <mergeCell ref="G20:H21"/>
    <mergeCell ref="Q18:R19"/>
    <mergeCell ref="Z20:AA21"/>
    <mergeCell ref="AI20:AJ21"/>
    <mergeCell ref="G24:H25"/>
    <mergeCell ref="Q21:R22"/>
    <mergeCell ref="Z24:AA25"/>
    <mergeCell ref="AI24:AJ25"/>
    <mergeCell ref="G26:H27"/>
    <mergeCell ref="Q23:R24"/>
    <mergeCell ref="Z26:AA27"/>
    <mergeCell ref="AI26:AJ27"/>
    <mergeCell ref="G12:H13"/>
    <mergeCell ref="Q11:R12"/>
    <mergeCell ref="Z12:AA13"/>
    <mergeCell ref="AI12:AJ13"/>
    <mergeCell ref="G14:H15"/>
    <mergeCell ref="Q13:R14"/>
    <mergeCell ref="Z14:AA15"/>
    <mergeCell ref="AI14:AJ15"/>
    <mergeCell ref="AI6:AJ7"/>
    <mergeCell ref="A1:F3"/>
    <mergeCell ref="J1:P3"/>
    <mergeCell ref="T1:AA3"/>
    <mergeCell ref="AC1:AJ3"/>
    <mergeCell ref="G6:H7"/>
    <mergeCell ref="Q6:R7"/>
    <mergeCell ref="Z6:AA7"/>
    <mergeCell ref="AK1:AK3"/>
    <mergeCell ref="G4:H5"/>
    <mergeCell ref="Q4:R5"/>
    <mergeCell ref="Z4:AA5"/>
    <mergeCell ref="AI4:AJ5"/>
  </mergeCells>
  <conditionalFormatting sqref="E17">
    <cfRule type="cellIs" dxfId="32" priority="4" operator="lessThan">
      <formula>500</formula>
    </cfRule>
  </conditionalFormatting>
  <conditionalFormatting sqref="F41 F43:F45">
    <cfRule type="cellIs" dxfId="31" priority="12" operator="lessThan">
      <formula>500</formula>
    </cfRule>
  </conditionalFormatting>
  <conditionalFormatting sqref="G44:G51">
    <cfRule type="cellIs" dxfId="30" priority="10" operator="lessThan">
      <formula>500</formula>
    </cfRule>
  </conditionalFormatting>
  <conditionalFormatting sqref="G55:G63 AJ70:AK71 AJ73:AK73">
    <cfRule type="cellIs" dxfId="29" priority="13" operator="lessThan">
      <formula>500</formula>
    </cfRule>
  </conditionalFormatting>
  <conditionalFormatting sqref="G65:G66">
    <cfRule type="cellIs" dxfId="28" priority="11" operator="lessThan">
      <formula>500</formula>
    </cfRule>
  </conditionalFormatting>
  <conditionalFormatting sqref="P5:P10 Y5:Y23 F6:F7 F9:F23 F47:F62">
    <cfRule type="cellIs" dxfId="27" priority="9" operator="lessThan">
      <formula>500</formula>
    </cfRule>
  </conditionalFormatting>
  <conditionalFormatting sqref="AH5:AH36">
    <cfRule type="cellIs" dxfId="26" priority="5" operator="lessThan">
      <formula>500</formula>
    </cfRule>
  </conditionalFormatting>
  <conditionalFormatting sqref="AJ52 AJ54:AJ69">
    <cfRule type="cellIs" dxfId="25" priority="8" operator="lessThan">
      <formula>500</formula>
    </cfRule>
  </conditionalFormatting>
  <conditionalFormatting sqref="AJ72 AK74">
    <cfRule type="cellIs" dxfId="24" priority="7" operator="lessThan">
      <formula>500</formula>
    </cfRule>
  </conditionalFormatting>
  <conditionalFormatting sqref="AK52:AK69">
    <cfRule type="cellIs" dxfId="23" priority="6" operator="lessThan">
      <formula>500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2"/>
  <sheetViews>
    <sheetView zoomScale="85" zoomScaleNormal="85" workbookViewId="0">
      <selection activeCell="G20" sqref="G20"/>
    </sheetView>
  </sheetViews>
  <sheetFormatPr defaultRowHeight="15" x14ac:dyDescent="0.25"/>
  <cols>
    <col min="1" max="1" width="9" style="142" customWidth="1"/>
    <col min="2" max="2" width="15.140625" customWidth="1"/>
    <col min="3" max="3" width="19" customWidth="1"/>
    <col min="4" max="4" width="9.5703125" customWidth="1"/>
    <col min="5" max="5" width="11.85546875" customWidth="1"/>
    <col min="6" max="6" width="14.140625" customWidth="1"/>
    <col min="7" max="7" width="13.42578125" customWidth="1"/>
    <col min="8" max="8" width="15.28515625" customWidth="1"/>
    <col min="9" max="9" width="20.140625" style="142" bestFit="1" customWidth="1"/>
    <col min="10" max="10" width="19.28515625" style="142" customWidth="1"/>
    <col min="11" max="11" width="17.28515625" bestFit="1" customWidth="1"/>
    <col min="12" max="12" width="26.42578125" customWidth="1"/>
    <col min="13" max="13" width="22.7109375" bestFit="1" customWidth="1"/>
    <col min="14" max="14" width="15.85546875" bestFit="1" customWidth="1"/>
    <col min="15" max="15" width="17.28515625" bestFit="1" customWidth="1"/>
    <col min="16" max="16" width="22.42578125" bestFit="1" customWidth="1"/>
    <col min="17" max="17" width="21.42578125" customWidth="1"/>
    <col min="18" max="18" width="22.140625" customWidth="1"/>
    <col min="19" max="19" width="17.140625" customWidth="1"/>
    <col min="20" max="20" width="16.140625" customWidth="1"/>
    <col min="21" max="21" width="5.28515625" customWidth="1"/>
    <col min="22" max="22" width="10.28515625" customWidth="1"/>
    <col min="24" max="24" width="10.85546875" customWidth="1"/>
    <col min="25" max="25" width="12.28515625" customWidth="1"/>
    <col min="26" max="26" width="12.7109375" customWidth="1"/>
  </cols>
  <sheetData>
    <row r="1" spans="1:16" x14ac:dyDescent="0.25">
      <c r="E1" s="391" t="s">
        <v>7</v>
      </c>
      <c r="F1" s="391"/>
      <c r="G1" s="391"/>
      <c r="H1" s="391"/>
      <c r="I1" s="391"/>
    </row>
    <row r="2" spans="1:16" x14ac:dyDescent="0.25">
      <c r="E2" s="391"/>
      <c r="F2" s="391"/>
      <c r="G2" s="391"/>
      <c r="H2" s="391"/>
      <c r="I2" s="391"/>
    </row>
    <row r="4" spans="1:16" x14ac:dyDescent="0.25">
      <c r="A4" s="152" t="s">
        <v>1</v>
      </c>
      <c r="B4" s="153" t="s">
        <v>2</v>
      </c>
      <c r="C4" s="153" t="s">
        <v>194</v>
      </c>
      <c r="D4" s="153" t="s">
        <v>89</v>
      </c>
      <c r="E4" s="153" t="s">
        <v>4</v>
      </c>
      <c r="F4" s="153" t="s">
        <v>37</v>
      </c>
      <c r="G4" s="153" t="s">
        <v>195</v>
      </c>
      <c r="H4" s="153" t="s">
        <v>196</v>
      </c>
      <c r="I4" s="154" t="s">
        <v>197</v>
      </c>
      <c r="J4" s="155" t="s">
        <v>198</v>
      </c>
      <c r="L4" s="392" t="s">
        <v>199</v>
      </c>
      <c r="M4" s="392"/>
      <c r="O4" s="392" t="s">
        <v>200</v>
      </c>
      <c r="P4" s="392"/>
    </row>
    <row r="5" spans="1:16" x14ac:dyDescent="0.25">
      <c r="A5" s="150">
        <v>1</v>
      </c>
      <c r="B5" s="147" t="s">
        <v>168</v>
      </c>
      <c r="C5" s="133" t="s">
        <v>173</v>
      </c>
      <c r="D5" s="134" t="str">
        <f>""</f>
        <v/>
      </c>
      <c r="E5" s="135">
        <v>46143</v>
      </c>
      <c r="F5" s="137">
        <v>3900</v>
      </c>
      <c r="G5" s="107">
        <v>2600</v>
      </c>
      <c r="H5" s="136">
        <f t="shared" ref="H5:H8" si="0">IF($F5="","",$F5-N($G5))</f>
        <v>1300</v>
      </c>
      <c r="I5" s="144">
        <f t="shared" ref="I5:I8" si="1">G5/100*70</f>
        <v>1820</v>
      </c>
      <c r="J5" s="151">
        <f>IF($F5="","",N($G5)*0.3)</f>
        <v>780</v>
      </c>
      <c r="L5" s="132" t="s">
        <v>201</v>
      </c>
      <c r="M5" s="131">
        <f>SUM(F5:F8)</f>
        <v>7600</v>
      </c>
      <c r="N5" s="140">
        <v>8150</v>
      </c>
      <c r="O5" s="130">
        <v>46154</v>
      </c>
      <c r="P5" s="128">
        <v>4000</v>
      </c>
    </row>
    <row r="6" spans="1:16" x14ac:dyDescent="0.25">
      <c r="A6" s="150">
        <v>2</v>
      </c>
      <c r="B6" s="148" t="s">
        <v>176</v>
      </c>
      <c r="C6" s="138">
        <v>1</v>
      </c>
      <c r="D6" s="134" t="str">
        <f>""</f>
        <v/>
      </c>
      <c r="E6" s="135">
        <v>46143</v>
      </c>
      <c r="F6" s="138">
        <v>750</v>
      </c>
      <c r="G6" s="107">
        <v>750</v>
      </c>
      <c r="H6" s="136">
        <f t="shared" si="0"/>
        <v>0</v>
      </c>
      <c r="I6" s="144">
        <f t="shared" si="1"/>
        <v>525</v>
      </c>
      <c r="J6" s="151">
        <f t="shared" ref="J6:J8" si="2">IF($F6="","",N($G6)*0.3)</f>
        <v>225</v>
      </c>
      <c r="L6" s="132" t="s">
        <v>202</v>
      </c>
      <c r="M6" s="131">
        <f>SUM(G5:G8)</f>
        <v>6300</v>
      </c>
      <c r="N6" s="141">
        <f>N5-P11</f>
        <v>2080</v>
      </c>
      <c r="O6" s="130">
        <v>46146</v>
      </c>
      <c r="P6" s="128">
        <v>70</v>
      </c>
    </row>
    <row r="7" spans="1:16" x14ac:dyDescent="0.25">
      <c r="A7" s="150">
        <v>4</v>
      </c>
      <c r="B7" s="149" t="s">
        <v>92</v>
      </c>
      <c r="C7" s="139">
        <v>3</v>
      </c>
      <c r="D7" s="134" t="str">
        <f>""</f>
        <v/>
      </c>
      <c r="E7" s="135">
        <v>46143</v>
      </c>
      <c r="F7" s="139">
        <v>2250</v>
      </c>
      <c r="G7" s="107">
        <v>2250</v>
      </c>
      <c r="H7" s="136">
        <f t="shared" si="0"/>
        <v>0</v>
      </c>
      <c r="I7" s="144">
        <f t="shared" si="1"/>
        <v>1575</v>
      </c>
      <c r="J7" s="151">
        <f t="shared" si="2"/>
        <v>675</v>
      </c>
      <c r="L7" s="132" t="s">
        <v>203</v>
      </c>
      <c r="M7" s="131">
        <f>M5</f>
        <v>7600</v>
      </c>
      <c r="N7" s="141"/>
      <c r="O7" s="130">
        <v>46158</v>
      </c>
      <c r="P7" s="128">
        <v>2000</v>
      </c>
    </row>
    <row r="8" spans="1:16" x14ac:dyDescent="0.25">
      <c r="A8" s="156">
        <v>5</v>
      </c>
      <c r="B8" s="157" t="s">
        <v>126</v>
      </c>
      <c r="C8" s="158">
        <v>1</v>
      </c>
      <c r="D8" s="158" t="str">
        <f>""</f>
        <v/>
      </c>
      <c r="E8" s="159">
        <v>46143</v>
      </c>
      <c r="F8" s="158">
        <v>700</v>
      </c>
      <c r="G8" s="107">
        <v>700</v>
      </c>
      <c r="H8" s="136">
        <f t="shared" si="0"/>
        <v>0</v>
      </c>
      <c r="I8" s="160">
        <f t="shared" si="1"/>
        <v>490</v>
      </c>
      <c r="J8" s="161">
        <f t="shared" si="2"/>
        <v>210</v>
      </c>
      <c r="L8" s="132" t="s">
        <v>204</v>
      </c>
      <c r="M8" s="131">
        <v>0</v>
      </c>
      <c r="N8" s="141"/>
      <c r="O8" s="128"/>
      <c r="P8" s="128"/>
    </row>
    <row r="9" spans="1:16" x14ac:dyDescent="0.25">
      <c r="L9" s="132" t="s">
        <v>205</v>
      </c>
      <c r="M9" s="131">
        <f>M6</f>
        <v>6300</v>
      </c>
      <c r="N9" s="141">
        <f>M6</f>
        <v>6300</v>
      </c>
      <c r="O9" s="128"/>
      <c r="P9" s="128"/>
    </row>
    <row r="10" spans="1:16" ht="15.75" thickBot="1" x14ac:dyDescent="0.3">
      <c r="L10" s="132" t="s">
        <v>48</v>
      </c>
      <c r="M10" s="131">
        <f>P11</f>
        <v>6070</v>
      </c>
      <c r="N10" s="141">
        <f>N9-P11</f>
        <v>230</v>
      </c>
      <c r="O10" s="168"/>
      <c r="P10" s="168"/>
    </row>
    <row r="11" spans="1:16" ht="15.75" thickBot="1" x14ac:dyDescent="0.3">
      <c r="I11" s="142" t="s">
        <v>206</v>
      </c>
      <c r="L11" s="132" t="s">
        <v>207</v>
      </c>
      <c r="M11" s="131">
        <f>M6-M10</f>
        <v>230</v>
      </c>
      <c r="N11" s="141"/>
      <c r="O11" s="169" t="s">
        <v>208</v>
      </c>
      <c r="P11" s="170">
        <f>SUM(P5:P10)</f>
        <v>6070</v>
      </c>
    </row>
    <row r="12" spans="1:16" x14ac:dyDescent="0.25">
      <c r="E12" s="391" t="s">
        <v>8</v>
      </c>
      <c r="F12" s="391"/>
      <c r="G12" s="391"/>
      <c r="H12" s="391"/>
      <c r="I12" s="391"/>
      <c r="N12" s="141"/>
    </row>
    <row r="13" spans="1:16" x14ac:dyDescent="0.25">
      <c r="E13" s="391"/>
      <c r="F13" s="391"/>
      <c r="G13" s="391"/>
      <c r="H13" s="391"/>
      <c r="I13" s="391"/>
    </row>
    <row r="15" spans="1:16" x14ac:dyDescent="0.25">
      <c r="A15" s="152" t="s">
        <v>1</v>
      </c>
      <c r="B15" s="153" t="s">
        <v>2</v>
      </c>
      <c r="C15" s="153" t="s">
        <v>194</v>
      </c>
      <c r="D15" s="153" t="s">
        <v>89</v>
      </c>
      <c r="E15" s="153" t="s">
        <v>4</v>
      </c>
      <c r="F15" s="153" t="s">
        <v>37</v>
      </c>
      <c r="G15" s="153" t="s">
        <v>195</v>
      </c>
      <c r="H15" s="153" t="s">
        <v>196</v>
      </c>
      <c r="I15" s="154" t="s">
        <v>197</v>
      </c>
      <c r="J15" s="155" t="s">
        <v>198</v>
      </c>
      <c r="L15" s="392" t="s">
        <v>209</v>
      </c>
      <c r="M15" s="392"/>
      <c r="N15" s="141">
        <f>M16</f>
        <v>16250</v>
      </c>
      <c r="O15" s="392" t="s">
        <v>200</v>
      </c>
      <c r="P15" s="392"/>
    </row>
    <row r="16" spans="1:16" x14ac:dyDescent="0.25">
      <c r="A16" s="150">
        <v>1</v>
      </c>
      <c r="B16" s="8" t="s">
        <v>92</v>
      </c>
      <c r="C16" s="8" t="s">
        <v>100</v>
      </c>
      <c r="D16" s="8" t="s">
        <v>96</v>
      </c>
      <c r="E16" s="129">
        <v>46143</v>
      </c>
      <c r="F16" s="8">
        <v>750</v>
      </c>
      <c r="G16" s="8">
        <v>750</v>
      </c>
      <c r="H16" s="131">
        <f>F16-G16</f>
        <v>0</v>
      </c>
      <c r="I16" s="145">
        <f>G16/100*70</f>
        <v>525</v>
      </c>
      <c r="J16" s="162">
        <f>G16/100*30</f>
        <v>225</v>
      </c>
      <c r="L16" s="132" t="s">
        <v>201</v>
      </c>
      <c r="M16" s="131">
        <f>SUM(F16:F24)</f>
        <v>16250</v>
      </c>
      <c r="N16" s="141">
        <f>N15-P22</f>
        <v>7000</v>
      </c>
      <c r="O16" s="130" t="s">
        <v>210</v>
      </c>
      <c r="P16" s="128">
        <v>3250</v>
      </c>
    </row>
    <row r="17" spans="1:16" x14ac:dyDescent="0.25">
      <c r="A17" s="150">
        <v>2</v>
      </c>
      <c r="B17" s="8" t="s">
        <v>97</v>
      </c>
      <c r="C17" s="8" t="s">
        <v>125</v>
      </c>
      <c r="D17" s="8" t="s">
        <v>112</v>
      </c>
      <c r="E17" s="129">
        <v>46143</v>
      </c>
      <c r="F17" s="8">
        <v>500</v>
      </c>
      <c r="G17" s="8">
        <v>500</v>
      </c>
      <c r="H17" s="131">
        <f t="shared" ref="H17:H23" si="3">F17-G17</f>
        <v>0</v>
      </c>
      <c r="I17" s="145">
        <f t="shared" ref="I17:I23" si="4">G17/100*70</f>
        <v>350</v>
      </c>
      <c r="J17" s="162">
        <f t="shared" ref="J17:J23" si="5">G17/100*30</f>
        <v>150</v>
      </c>
      <c r="L17" s="132" t="s">
        <v>202</v>
      </c>
      <c r="M17" s="131">
        <f>SUM(G16:G24)</f>
        <v>12950</v>
      </c>
      <c r="N17" s="141"/>
      <c r="O17" s="130">
        <v>46154</v>
      </c>
      <c r="P17" s="128">
        <v>1000</v>
      </c>
    </row>
    <row r="18" spans="1:16" x14ac:dyDescent="0.25">
      <c r="A18" s="150">
        <v>3</v>
      </c>
      <c r="B18" s="8" t="s">
        <v>166</v>
      </c>
      <c r="C18" s="8" t="s">
        <v>129</v>
      </c>
      <c r="D18" s="8"/>
      <c r="E18" s="129">
        <v>46143</v>
      </c>
      <c r="F18" s="8">
        <v>2100</v>
      </c>
      <c r="G18" s="8">
        <v>2100</v>
      </c>
      <c r="H18" s="131">
        <f t="shared" si="3"/>
        <v>0</v>
      </c>
      <c r="I18" s="145">
        <f t="shared" si="4"/>
        <v>1470</v>
      </c>
      <c r="J18" s="162">
        <f t="shared" si="5"/>
        <v>630</v>
      </c>
      <c r="L18" s="132" t="s">
        <v>203</v>
      </c>
      <c r="M18" s="131">
        <f>M17</f>
        <v>12950</v>
      </c>
      <c r="O18" s="130">
        <v>46154</v>
      </c>
      <c r="P18" s="128">
        <v>5000</v>
      </c>
    </row>
    <row r="19" spans="1:16" x14ac:dyDescent="0.25">
      <c r="A19" s="150">
        <v>4</v>
      </c>
      <c r="B19" s="8" t="s">
        <v>211</v>
      </c>
      <c r="C19" s="8" t="s">
        <v>117</v>
      </c>
      <c r="D19" s="8" t="s">
        <v>115</v>
      </c>
      <c r="E19" s="129">
        <v>46143</v>
      </c>
      <c r="F19" s="8">
        <v>3900</v>
      </c>
      <c r="G19" s="8">
        <v>2600</v>
      </c>
      <c r="H19" s="131">
        <f t="shared" si="3"/>
        <v>1300</v>
      </c>
      <c r="I19" s="145">
        <f t="shared" si="4"/>
        <v>1820</v>
      </c>
      <c r="J19" s="162">
        <f t="shared" si="5"/>
        <v>780</v>
      </c>
      <c r="L19" s="132" t="s">
        <v>204</v>
      </c>
      <c r="M19" s="131">
        <v>0</v>
      </c>
      <c r="N19" s="141">
        <f>M17-P22</f>
        <v>3700</v>
      </c>
      <c r="O19" s="128"/>
      <c r="P19" s="128"/>
    </row>
    <row r="20" spans="1:16" x14ac:dyDescent="0.25">
      <c r="A20" s="150">
        <v>5</v>
      </c>
      <c r="B20" s="8" t="s">
        <v>97</v>
      </c>
      <c r="C20" s="8" t="s">
        <v>183</v>
      </c>
      <c r="D20" s="8" t="s">
        <v>96</v>
      </c>
      <c r="E20" s="129">
        <v>46143</v>
      </c>
      <c r="F20" s="8">
        <v>3000</v>
      </c>
      <c r="G20" s="8">
        <v>3000</v>
      </c>
      <c r="H20" s="131">
        <f t="shared" si="3"/>
        <v>0</v>
      </c>
      <c r="I20" s="145">
        <f t="shared" si="4"/>
        <v>2100</v>
      </c>
      <c r="J20" s="162">
        <f t="shared" si="5"/>
        <v>900</v>
      </c>
      <c r="L20" s="132" t="s">
        <v>205</v>
      </c>
      <c r="M20" s="131">
        <f>M17</f>
        <v>12950</v>
      </c>
      <c r="O20" s="128"/>
      <c r="P20" s="128"/>
    </row>
    <row r="21" spans="1:16" ht="15.75" thickBot="1" x14ac:dyDescent="0.3">
      <c r="A21" s="150">
        <v>6</v>
      </c>
      <c r="B21" s="8" t="s">
        <v>191</v>
      </c>
      <c r="C21" s="8" t="s">
        <v>192</v>
      </c>
      <c r="D21" s="8">
        <v>10</v>
      </c>
      <c r="E21" s="129">
        <v>46143</v>
      </c>
      <c r="F21" s="8">
        <v>1000</v>
      </c>
      <c r="G21" s="143"/>
      <c r="H21" s="131">
        <v>0</v>
      </c>
      <c r="I21" s="145">
        <f t="shared" si="4"/>
        <v>0</v>
      </c>
      <c r="J21" s="162">
        <f t="shared" si="5"/>
        <v>0</v>
      </c>
      <c r="L21" s="132" t="s">
        <v>48</v>
      </c>
      <c r="M21" s="131">
        <f>P22</f>
        <v>9250</v>
      </c>
      <c r="O21" s="168"/>
      <c r="P21" s="168"/>
    </row>
    <row r="22" spans="1:16" ht="15.75" thickBot="1" x14ac:dyDescent="0.3">
      <c r="A22" s="150">
        <v>7</v>
      </c>
      <c r="B22" s="8" t="s">
        <v>193</v>
      </c>
      <c r="C22" s="8" t="s">
        <v>192</v>
      </c>
      <c r="D22" s="8">
        <v>10</v>
      </c>
      <c r="E22" s="129">
        <v>46143</v>
      </c>
      <c r="F22" s="8">
        <v>1000</v>
      </c>
      <c r="G22" s="143"/>
      <c r="H22" s="131">
        <v>0</v>
      </c>
      <c r="I22" s="145">
        <f t="shared" si="4"/>
        <v>0</v>
      </c>
      <c r="J22" s="162">
        <f t="shared" si="5"/>
        <v>0</v>
      </c>
      <c r="L22" s="132" t="s">
        <v>207</v>
      </c>
      <c r="M22" s="131">
        <f>M17-M21</f>
        <v>3700</v>
      </c>
      <c r="O22" s="169" t="s">
        <v>208</v>
      </c>
      <c r="P22" s="170">
        <f>SUM(P16:P21)</f>
        <v>9250</v>
      </c>
    </row>
    <row r="23" spans="1:16" x14ac:dyDescent="0.25">
      <c r="A23" s="156">
        <v>8</v>
      </c>
      <c r="B23" s="163" t="s">
        <v>212</v>
      </c>
      <c r="C23" s="163" t="s">
        <v>117</v>
      </c>
      <c r="D23" s="163" t="s">
        <v>213</v>
      </c>
      <c r="E23" s="164">
        <v>46143</v>
      </c>
      <c r="F23" s="163">
        <v>2000</v>
      </c>
      <c r="G23" s="163">
        <v>2000</v>
      </c>
      <c r="H23" s="165">
        <f t="shared" si="3"/>
        <v>0</v>
      </c>
      <c r="I23" s="166">
        <f t="shared" si="4"/>
        <v>1400</v>
      </c>
      <c r="J23" s="167">
        <f t="shared" si="5"/>
        <v>600</v>
      </c>
    </row>
    <row r="24" spans="1:16" x14ac:dyDescent="0.25">
      <c r="A24" s="156">
        <v>9</v>
      </c>
      <c r="B24" s="163" t="s">
        <v>214</v>
      </c>
      <c r="C24" s="163" t="s">
        <v>215</v>
      </c>
      <c r="D24" s="163" t="s">
        <v>216</v>
      </c>
      <c r="E24" s="164">
        <v>46143</v>
      </c>
      <c r="F24" s="163">
        <v>2000</v>
      </c>
      <c r="G24" s="163">
        <v>2000</v>
      </c>
      <c r="H24" s="165">
        <f>F24-G24</f>
        <v>0</v>
      </c>
      <c r="I24" s="166">
        <f>G24/100*70</f>
        <v>1400</v>
      </c>
      <c r="J24" s="167">
        <f>G24/100*30</f>
        <v>600</v>
      </c>
      <c r="L24" s="142"/>
    </row>
    <row r="25" spans="1:16" x14ac:dyDescent="0.25">
      <c r="L25" s="142"/>
    </row>
    <row r="26" spans="1:16" ht="28.5" x14ac:dyDescent="0.25">
      <c r="L26" s="146"/>
      <c r="M26" s="185"/>
    </row>
    <row r="27" spans="1:16" ht="28.5" x14ac:dyDescent="0.25">
      <c r="L27" s="146"/>
      <c r="M27" s="185"/>
      <c r="N27" s="185"/>
    </row>
    <row r="28" spans="1:16" ht="28.5" x14ac:dyDescent="0.25">
      <c r="L28" s="146"/>
      <c r="N28" s="185"/>
    </row>
    <row r="29" spans="1:16" x14ac:dyDescent="0.25">
      <c r="A29" s="181"/>
      <c r="B29" s="3"/>
      <c r="C29" s="3"/>
      <c r="D29" s="3"/>
      <c r="E29" s="86"/>
      <c r="F29" s="86"/>
      <c r="G29" s="86"/>
      <c r="H29" s="86"/>
      <c r="I29" s="146"/>
      <c r="J29" s="146"/>
      <c r="L29" s="146"/>
    </row>
    <row r="30" spans="1:16" x14ac:dyDescent="0.25">
      <c r="A30" s="181"/>
      <c r="E30" s="86"/>
      <c r="F30" s="86"/>
      <c r="G30" s="86"/>
      <c r="H30" s="86"/>
      <c r="I30" s="390"/>
      <c r="J30" s="390"/>
      <c r="L30" s="146"/>
    </row>
    <row r="31" spans="1:16" ht="15" customHeight="1" x14ac:dyDescent="0.25">
      <c r="A31" s="181"/>
      <c r="E31" s="86"/>
      <c r="F31" s="86"/>
      <c r="G31" s="86"/>
      <c r="H31" s="86"/>
      <c r="I31" s="390"/>
      <c r="J31" s="390"/>
      <c r="L31" s="146"/>
    </row>
    <row r="32" spans="1:16" ht="15" customHeight="1" x14ac:dyDescent="0.25">
      <c r="A32" s="181"/>
      <c r="E32" s="86"/>
      <c r="F32" s="86"/>
      <c r="G32" s="86"/>
      <c r="H32" s="86"/>
      <c r="I32" s="146"/>
      <c r="J32" s="146"/>
      <c r="L32" s="146"/>
    </row>
    <row r="33" spans="9:12" x14ac:dyDescent="0.25">
      <c r="I33" s="141"/>
      <c r="J33"/>
      <c r="K33" s="86"/>
      <c r="L33" s="146"/>
    </row>
    <row r="34" spans="9:12" x14ac:dyDescent="0.25">
      <c r="I34"/>
      <c r="J34"/>
      <c r="L34" s="146"/>
    </row>
    <row r="35" spans="9:12" x14ac:dyDescent="0.25">
      <c r="I35" s="141"/>
      <c r="J35"/>
      <c r="L35" s="142"/>
    </row>
    <row r="36" spans="9:12" x14ac:dyDescent="0.25">
      <c r="I36"/>
      <c r="J36"/>
      <c r="L36" s="142"/>
    </row>
    <row r="37" spans="9:12" x14ac:dyDescent="0.25">
      <c r="I37"/>
      <c r="J37"/>
      <c r="L37" s="142"/>
    </row>
    <row r="38" spans="9:12" x14ac:dyDescent="0.25">
      <c r="I38"/>
      <c r="J38"/>
      <c r="L38" s="142"/>
    </row>
    <row r="39" spans="9:12" x14ac:dyDescent="0.25">
      <c r="I39"/>
      <c r="J39"/>
    </row>
    <row r="40" spans="9:12" x14ac:dyDescent="0.25">
      <c r="I40"/>
      <c r="J40"/>
    </row>
    <row r="41" spans="9:12" x14ac:dyDescent="0.25">
      <c r="I41"/>
      <c r="J41"/>
    </row>
    <row r="42" spans="9:12" x14ac:dyDescent="0.25">
      <c r="I42"/>
      <c r="J42"/>
    </row>
    <row r="43" spans="9:12" x14ac:dyDescent="0.25">
      <c r="I43"/>
      <c r="J43"/>
    </row>
    <row r="44" spans="9:12" x14ac:dyDescent="0.25">
      <c r="I44"/>
      <c r="J44"/>
    </row>
    <row r="45" spans="9:12" x14ac:dyDescent="0.25">
      <c r="I45"/>
      <c r="J45"/>
    </row>
    <row r="46" spans="9:12" x14ac:dyDescent="0.25">
      <c r="I46"/>
      <c r="J46"/>
    </row>
    <row r="47" spans="9:12" x14ac:dyDescent="0.25">
      <c r="I47"/>
      <c r="J47"/>
    </row>
    <row r="48" spans="9:12" x14ac:dyDescent="0.25">
      <c r="I48"/>
      <c r="J48"/>
    </row>
    <row r="49" spans="9:10" x14ac:dyDescent="0.25">
      <c r="I49"/>
      <c r="J49"/>
    </row>
    <row r="50" spans="9:10" x14ac:dyDescent="0.25">
      <c r="I50"/>
      <c r="J50"/>
    </row>
    <row r="51" spans="9:10" x14ac:dyDescent="0.25">
      <c r="I51"/>
      <c r="J51"/>
    </row>
    <row r="52" spans="9:10" x14ac:dyDescent="0.25">
      <c r="I52"/>
      <c r="J52"/>
    </row>
  </sheetData>
  <mergeCells count="7">
    <mergeCell ref="I30:J31"/>
    <mergeCell ref="E1:I2"/>
    <mergeCell ref="O15:P15"/>
    <mergeCell ref="L4:M4"/>
    <mergeCell ref="O4:P4"/>
    <mergeCell ref="L15:M15"/>
    <mergeCell ref="E12:I13"/>
  </mergeCells>
  <conditionalFormatting sqref="G6">
    <cfRule type="cellIs" dxfId="22" priority="5" operator="lessThan">
      <formula>500</formula>
    </cfRule>
  </conditionalFormatting>
  <conditionalFormatting sqref="H5:H8 G8:H8">
    <cfRule type="cellIs" dxfId="21" priority="4" operator="greaterThan">
      <formula>0</formula>
    </cfRule>
  </conditionalFormatting>
  <conditionalFormatting sqref="H16:H24">
    <cfRule type="cellIs" dxfId="20" priority="2" operator="greaterThan">
      <formula>0</formula>
    </cfRule>
  </conditionalFormatting>
  <pageMargins left="0" right="0" top="0" bottom="0" header="0" footer="0"/>
  <pageSetup orientation="landscape"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3D4F-FDEC-4880-830A-6D03D212C5A2}">
  <dimension ref="A1:P63"/>
  <sheetViews>
    <sheetView topLeftCell="A23" workbookViewId="0">
      <selection activeCell="B26" sqref="B26:H26"/>
    </sheetView>
  </sheetViews>
  <sheetFormatPr defaultRowHeight="15" x14ac:dyDescent="0.25"/>
  <cols>
    <col min="1" max="1" width="8.140625" customWidth="1"/>
    <col min="2" max="2" width="18.42578125" customWidth="1"/>
    <col min="3" max="3" width="23" customWidth="1"/>
    <col min="4" max="4" width="9.140625" customWidth="1"/>
    <col min="5" max="5" width="11.5703125" customWidth="1"/>
    <col min="6" max="6" width="14.140625" customWidth="1"/>
    <col min="7" max="7" width="12.85546875" customWidth="1"/>
    <col min="8" max="8" width="13" customWidth="1"/>
    <col min="9" max="9" width="13.140625" bestFit="1" customWidth="1"/>
    <col min="10" max="10" width="7.140625" style="142" bestFit="1" customWidth="1"/>
    <col min="12" max="12" width="20.140625" customWidth="1"/>
    <col min="13" max="13" width="17" customWidth="1"/>
    <col min="14" max="14" width="12.28515625" customWidth="1"/>
    <col min="15" max="15" width="19.42578125" customWidth="1"/>
    <col min="16" max="16" width="19" customWidth="1"/>
    <col min="18" max="18" width="11.28515625" customWidth="1"/>
    <col min="19" max="19" width="10.7109375" customWidth="1"/>
    <col min="20" max="20" width="12.5703125" customWidth="1"/>
    <col min="21" max="21" width="21" customWidth="1"/>
    <col min="22" max="22" width="22.140625" customWidth="1"/>
  </cols>
  <sheetData>
    <row r="1" spans="1:16" x14ac:dyDescent="0.25">
      <c r="A1" s="142"/>
      <c r="E1" s="391" t="s">
        <v>217</v>
      </c>
      <c r="F1" s="391"/>
      <c r="G1" s="391"/>
      <c r="H1" s="391"/>
      <c r="I1" s="391"/>
    </row>
    <row r="2" spans="1:16" x14ac:dyDescent="0.25">
      <c r="A2" s="142"/>
      <c r="E2" s="391"/>
      <c r="F2" s="391"/>
      <c r="G2" s="391"/>
      <c r="H2" s="391"/>
      <c r="I2" s="391"/>
    </row>
    <row r="3" spans="1:16" x14ac:dyDescent="0.25">
      <c r="A3" s="142"/>
      <c r="I3" s="142"/>
    </row>
    <row r="4" spans="1:16" x14ac:dyDescent="0.25">
      <c r="A4" s="152" t="s">
        <v>1</v>
      </c>
      <c r="B4" s="153" t="s">
        <v>2</v>
      </c>
      <c r="C4" s="153" t="s">
        <v>194</v>
      </c>
      <c r="D4" s="153" t="s">
        <v>89</v>
      </c>
      <c r="E4" s="153" t="s">
        <v>4</v>
      </c>
      <c r="F4" s="153" t="s">
        <v>37</v>
      </c>
      <c r="G4" s="153" t="s">
        <v>195</v>
      </c>
      <c r="H4" s="153" t="s">
        <v>196</v>
      </c>
      <c r="I4" s="154" t="s">
        <v>197</v>
      </c>
      <c r="J4" s="179" t="s">
        <v>198</v>
      </c>
      <c r="L4" s="392" t="s">
        <v>218</v>
      </c>
      <c r="M4" s="392"/>
      <c r="O4" s="392" t="s">
        <v>200</v>
      </c>
      <c r="P4" s="392"/>
    </row>
    <row r="5" spans="1:16" x14ac:dyDescent="0.25">
      <c r="A5" s="150">
        <v>1</v>
      </c>
      <c r="B5" s="175" t="s">
        <v>219</v>
      </c>
      <c r="C5" s="176" t="s">
        <v>125</v>
      </c>
      <c r="D5" s="134" t="s">
        <v>220</v>
      </c>
      <c r="E5" s="135">
        <v>46174</v>
      </c>
      <c r="F5" s="137">
        <v>0</v>
      </c>
      <c r="G5" s="107">
        <v>0</v>
      </c>
      <c r="H5" s="136">
        <f t="shared" ref="H5:H13" si="0">IF($F5="","",$F5-N($G5))</f>
        <v>0</v>
      </c>
      <c r="I5" s="144">
        <f t="shared" ref="I5:I13" si="1">G5/100*70</f>
        <v>0</v>
      </c>
      <c r="J5" s="151">
        <f>IF($F5="","",N($G5)*0.3)</f>
        <v>0</v>
      </c>
      <c r="L5" s="132" t="s">
        <v>201</v>
      </c>
      <c r="M5" s="131">
        <f>SUM(F5:F15)</f>
        <v>18500</v>
      </c>
      <c r="N5" s="140"/>
      <c r="O5" s="130">
        <v>46202</v>
      </c>
      <c r="P5" s="128">
        <v>15300</v>
      </c>
    </row>
    <row r="6" spans="1:16" x14ac:dyDescent="0.25">
      <c r="A6" s="150">
        <v>2</v>
      </c>
      <c r="B6" s="148" t="s">
        <v>92</v>
      </c>
      <c r="C6" s="138" t="s">
        <v>221</v>
      </c>
      <c r="D6" s="134" t="s">
        <v>222</v>
      </c>
      <c r="E6" s="135">
        <v>46174</v>
      </c>
      <c r="F6" s="138">
        <v>3200</v>
      </c>
      <c r="G6" s="107">
        <v>2300</v>
      </c>
      <c r="H6" s="136">
        <f t="shared" si="0"/>
        <v>900</v>
      </c>
      <c r="I6" s="144">
        <f>G6/100*70</f>
        <v>1610</v>
      </c>
      <c r="J6" s="151">
        <f t="shared" ref="J6:J13" si="2">IF($F6="","",N($G6)*0.3)</f>
        <v>690</v>
      </c>
      <c r="L6" s="132" t="s">
        <v>202</v>
      </c>
      <c r="M6" s="131">
        <f>SUM(G5:G15)</f>
        <v>17600</v>
      </c>
      <c r="N6" s="141"/>
      <c r="O6" s="130"/>
      <c r="P6" s="128"/>
    </row>
    <row r="7" spans="1:16" x14ac:dyDescent="0.25">
      <c r="A7" s="150">
        <v>4</v>
      </c>
      <c r="B7" s="149" t="s">
        <v>97</v>
      </c>
      <c r="C7" s="139" t="s">
        <v>223</v>
      </c>
      <c r="D7" s="134" t="s">
        <v>96</v>
      </c>
      <c r="E7" s="135">
        <v>46174</v>
      </c>
      <c r="F7" s="139">
        <v>2000</v>
      </c>
      <c r="G7" s="107">
        <v>2000</v>
      </c>
      <c r="H7" s="136">
        <f t="shared" si="0"/>
        <v>0</v>
      </c>
      <c r="I7" s="144">
        <f t="shared" si="1"/>
        <v>1400</v>
      </c>
      <c r="J7" s="151">
        <f t="shared" si="2"/>
        <v>600</v>
      </c>
      <c r="L7" s="132" t="s">
        <v>203</v>
      </c>
      <c r="M7" s="131">
        <f>SUM(Table14[Teacher Share (70%)])</f>
        <v>12320</v>
      </c>
      <c r="N7" s="141"/>
      <c r="O7" s="130"/>
      <c r="P7" s="128"/>
    </row>
    <row r="8" spans="1:16" x14ac:dyDescent="0.25">
      <c r="A8" s="150">
        <v>5</v>
      </c>
      <c r="B8" s="149" t="s">
        <v>30</v>
      </c>
      <c r="C8" s="158" t="s">
        <v>224</v>
      </c>
      <c r="D8" s="134" t="s">
        <v>96</v>
      </c>
      <c r="E8" s="135">
        <v>46174</v>
      </c>
      <c r="F8" s="158">
        <v>2000</v>
      </c>
      <c r="G8" s="107">
        <v>2000</v>
      </c>
      <c r="H8" s="136">
        <f>IF($F8="","",$F8-N($G8))</f>
        <v>0</v>
      </c>
      <c r="I8" s="144">
        <f>G8/100*70</f>
        <v>1400</v>
      </c>
      <c r="J8" s="151">
        <f>IF($F8="","",N($G8)*0.3)</f>
        <v>600</v>
      </c>
      <c r="L8" s="132" t="s">
        <v>204</v>
      </c>
      <c r="M8" s="131">
        <f>SUM(Table14[Academy Share (30%)])</f>
        <v>5280</v>
      </c>
      <c r="N8" s="141"/>
      <c r="O8" s="128"/>
      <c r="P8" s="128"/>
    </row>
    <row r="9" spans="1:16" x14ac:dyDescent="0.25">
      <c r="A9" s="150">
        <v>6</v>
      </c>
      <c r="B9" s="149" t="s">
        <v>225</v>
      </c>
      <c r="C9" s="158" t="s">
        <v>226</v>
      </c>
      <c r="D9" s="134" t="s">
        <v>91</v>
      </c>
      <c r="E9" s="135">
        <v>46174</v>
      </c>
      <c r="F9" s="158">
        <v>2000</v>
      </c>
      <c r="G9" s="107">
        <v>2000</v>
      </c>
      <c r="H9" s="136">
        <f>IF($F9="","",$F9-N($G9))</f>
        <v>0</v>
      </c>
      <c r="I9" s="144">
        <f>G9/100*70</f>
        <v>1400</v>
      </c>
      <c r="J9" s="151">
        <f>IF($F9="","",N($G9)*0.3)</f>
        <v>600</v>
      </c>
      <c r="L9" s="132" t="s">
        <v>205</v>
      </c>
      <c r="M9" s="131">
        <f>M6</f>
        <v>17600</v>
      </c>
      <c r="N9" s="141"/>
      <c r="O9" s="128"/>
      <c r="P9" s="128"/>
    </row>
    <row r="10" spans="1:16" x14ac:dyDescent="0.25">
      <c r="A10" s="150">
        <v>7</v>
      </c>
      <c r="B10" s="149" t="s">
        <v>227</v>
      </c>
      <c r="C10" s="158" t="s">
        <v>228</v>
      </c>
      <c r="D10" s="134" t="s">
        <v>216</v>
      </c>
      <c r="E10" s="135">
        <v>46174</v>
      </c>
      <c r="F10" s="158">
        <v>2000</v>
      </c>
      <c r="G10" s="107">
        <v>2000</v>
      </c>
      <c r="H10" s="136">
        <f>IF($F10="","",$F10-N($G10))</f>
        <v>0</v>
      </c>
      <c r="I10" s="144">
        <f>G10/100*70</f>
        <v>1400</v>
      </c>
      <c r="J10" s="151">
        <f>IF($F10="","",N($G10)*0.3)</f>
        <v>600</v>
      </c>
      <c r="L10" s="132" t="s">
        <v>48</v>
      </c>
      <c r="M10" s="131">
        <f>P11</f>
        <v>15300</v>
      </c>
      <c r="N10" s="141"/>
      <c r="O10" s="168"/>
      <c r="P10" s="168"/>
    </row>
    <row r="11" spans="1:16" x14ac:dyDescent="0.25">
      <c r="A11" s="150">
        <v>8</v>
      </c>
      <c r="B11" s="171" t="s">
        <v>229</v>
      </c>
      <c r="C11" s="158" t="s">
        <v>230</v>
      </c>
      <c r="D11" s="134" t="s">
        <v>96</v>
      </c>
      <c r="E11" s="135">
        <v>46174</v>
      </c>
      <c r="F11" s="158">
        <v>2100</v>
      </c>
      <c r="G11" s="107">
        <v>2100</v>
      </c>
      <c r="H11" s="136">
        <f>IF($F11="","",$F11-N($G11))</f>
        <v>0</v>
      </c>
      <c r="I11" s="144">
        <f>G11/100*70</f>
        <v>1470</v>
      </c>
      <c r="J11" s="151">
        <f>IF($F11="","",N($G11)*0.3)</f>
        <v>630</v>
      </c>
      <c r="L11" s="132" t="s">
        <v>207</v>
      </c>
      <c r="M11" s="131">
        <f>M7-M10</f>
        <v>-2980</v>
      </c>
      <c r="N11" s="141"/>
      <c r="O11" s="169" t="s">
        <v>208</v>
      </c>
      <c r="P11" s="170">
        <f>SUM(P5:P10)</f>
        <v>15300</v>
      </c>
    </row>
    <row r="12" spans="1:16" x14ac:dyDescent="0.25">
      <c r="A12" s="150">
        <v>9</v>
      </c>
      <c r="B12" s="149" t="s">
        <v>231</v>
      </c>
      <c r="C12" s="158" t="s">
        <v>232</v>
      </c>
      <c r="D12" s="134" t="s">
        <v>233</v>
      </c>
      <c r="E12" s="135">
        <v>46174</v>
      </c>
      <c r="F12" s="158">
        <v>700</v>
      </c>
      <c r="G12" s="107">
        <v>700</v>
      </c>
      <c r="H12" s="136">
        <f>IF($F12="","",$F12-N($G12))</f>
        <v>0</v>
      </c>
      <c r="I12" s="144">
        <f>G12/100*70</f>
        <v>490</v>
      </c>
      <c r="J12" s="151">
        <f>IF($F12="","",N($G12)*0.3)</f>
        <v>210</v>
      </c>
      <c r="N12" s="141"/>
    </row>
    <row r="13" spans="1:16" x14ac:dyDescent="0.25">
      <c r="A13" s="150">
        <v>10</v>
      </c>
      <c r="B13" s="157" t="s">
        <v>184</v>
      </c>
      <c r="C13" s="158" t="s">
        <v>234</v>
      </c>
      <c r="D13" s="158" t="s">
        <v>235</v>
      </c>
      <c r="E13" s="135">
        <v>46174</v>
      </c>
      <c r="F13" s="158">
        <v>2000</v>
      </c>
      <c r="G13" s="107">
        <v>2000</v>
      </c>
      <c r="H13" s="136">
        <f t="shared" si="0"/>
        <v>0</v>
      </c>
      <c r="I13" s="160">
        <f t="shared" si="1"/>
        <v>1400</v>
      </c>
      <c r="J13" s="161">
        <f t="shared" si="2"/>
        <v>600</v>
      </c>
    </row>
    <row r="14" spans="1:16" x14ac:dyDescent="0.25">
      <c r="A14" s="156">
        <v>11</v>
      </c>
      <c r="B14" s="157" t="s">
        <v>236</v>
      </c>
      <c r="C14" t="s">
        <v>117</v>
      </c>
      <c r="D14" s="172" t="s">
        <v>237</v>
      </c>
      <c r="E14" s="135">
        <v>46174</v>
      </c>
      <c r="F14">
        <v>500</v>
      </c>
      <c r="G14" s="173">
        <v>500</v>
      </c>
      <c r="H14" s="174">
        <f>IF($F14="","",$F14-N($G14))</f>
        <v>0</v>
      </c>
      <c r="I14" s="160">
        <f>G14/100*70</f>
        <v>350</v>
      </c>
      <c r="J14" s="161">
        <f>IF($F14="","",N($G14)*0.3)</f>
        <v>150</v>
      </c>
    </row>
    <row r="15" spans="1:16" x14ac:dyDescent="0.25">
      <c r="A15" s="156">
        <v>12</v>
      </c>
      <c r="B15" s="157" t="s">
        <v>238</v>
      </c>
      <c r="C15" t="s">
        <v>239</v>
      </c>
      <c r="D15" s="172"/>
      <c r="E15" s="159"/>
      <c r="F15">
        <v>2000</v>
      </c>
      <c r="G15" s="173">
        <v>2000</v>
      </c>
      <c r="H15" s="174">
        <f>IF($F15="","",$F15-N($G15))</f>
        <v>0</v>
      </c>
      <c r="I15" s="160">
        <f>G15/100*70</f>
        <v>1400</v>
      </c>
      <c r="J15" s="161">
        <f>IF($F15="","",N($G15)*0.3)</f>
        <v>600</v>
      </c>
      <c r="N15" s="141"/>
      <c r="O15" s="392" t="s">
        <v>200</v>
      </c>
      <c r="P15" s="392"/>
    </row>
    <row r="16" spans="1:16" x14ac:dyDescent="0.25">
      <c r="A16" s="142">
        <v>13</v>
      </c>
      <c r="I16" s="142" t="s">
        <v>206</v>
      </c>
      <c r="N16" s="141"/>
      <c r="O16" s="130"/>
      <c r="P16" s="128"/>
    </row>
    <row r="17" spans="1:16" ht="15" customHeight="1" x14ac:dyDescent="0.25">
      <c r="A17" s="142"/>
      <c r="E17" s="391" t="s">
        <v>240</v>
      </c>
      <c r="F17" s="391"/>
      <c r="G17" s="391"/>
      <c r="H17" s="391"/>
      <c r="I17" s="391"/>
      <c r="N17" s="141"/>
      <c r="O17" s="130">
        <v>46202</v>
      </c>
      <c r="P17" s="128">
        <v>11800</v>
      </c>
    </row>
    <row r="18" spans="1:16" ht="15" customHeight="1" x14ac:dyDescent="0.25">
      <c r="A18" s="142"/>
      <c r="E18" s="391"/>
      <c r="F18" s="391"/>
      <c r="G18" s="391"/>
      <c r="H18" s="391"/>
      <c r="I18" s="391"/>
      <c r="P18" s="128"/>
    </row>
    <row r="19" spans="1:16" x14ac:dyDescent="0.25">
      <c r="A19" s="142"/>
      <c r="I19" s="142"/>
      <c r="N19" s="141">
        <f>M7+M23</f>
        <v>22820</v>
      </c>
      <c r="O19" s="130"/>
      <c r="P19" s="128"/>
    </row>
    <row r="20" spans="1:16" x14ac:dyDescent="0.25">
      <c r="A20" s="152" t="s">
        <v>1</v>
      </c>
      <c r="B20" s="153" t="s">
        <v>2</v>
      </c>
      <c r="C20" s="153" t="s">
        <v>194</v>
      </c>
      <c r="D20" s="153" t="s">
        <v>89</v>
      </c>
      <c r="E20" s="153" t="s">
        <v>4</v>
      </c>
      <c r="F20" s="153" t="s">
        <v>37</v>
      </c>
      <c r="G20" s="153" t="s">
        <v>195</v>
      </c>
      <c r="H20" s="153" t="s">
        <v>196</v>
      </c>
      <c r="I20" s="154" t="s">
        <v>197</v>
      </c>
      <c r="J20" s="179" t="s">
        <v>198</v>
      </c>
      <c r="L20" s="392" t="s">
        <v>241</v>
      </c>
      <c r="M20" s="392"/>
      <c r="O20" s="128"/>
      <c r="P20" s="128"/>
    </row>
    <row r="21" spans="1:16" x14ac:dyDescent="0.25">
      <c r="A21" s="150">
        <v>1</v>
      </c>
      <c r="B21" s="8" t="s">
        <v>242</v>
      </c>
      <c r="C21" s="8" t="s">
        <v>243</v>
      </c>
      <c r="D21" s="8" t="s">
        <v>91</v>
      </c>
      <c r="E21" s="135">
        <v>46174</v>
      </c>
      <c r="F21" s="8">
        <v>2000</v>
      </c>
      <c r="G21" s="8">
        <v>2000</v>
      </c>
      <c r="H21" s="131">
        <f>F21-G21</f>
        <v>0</v>
      </c>
      <c r="I21" s="145">
        <f>G21/100*70</f>
        <v>1400</v>
      </c>
      <c r="J21" s="162">
        <f>G21/100*30</f>
        <v>600</v>
      </c>
      <c r="L21" s="132" t="s">
        <v>201</v>
      </c>
      <c r="M21" s="131">
        <f>SUM(F21:F29)</f>
        <v>16000</v>
      </c>
      <c r="O21" s="168"/>
      <c r="P21" s="168"/>
    </row>
    <row r="22" spans="1:16" x14ac:dyDescent="0.25">
      <c r="A22" s="150">
        <v>2</v>
      </c>
      <c r="B22" s="8" t="s">
        <v>244</v>
      </c>
      <c r="C22" s="8" t="s">
        <v>245</v>
      </c>
      <c r="D22" s="8" t="s">
        <v>235</v>
      </c>
      <c r="E22" s="135">
        <v>46174</v>
      </c>
      <c r="F22" s="8">
        <v>2000</v>
      </c>
      <c r="G22" s="8">
        <v>2000</v>
      </c>
      <c r="H22" s="131">
        <f t="shared" ref="H22:H29" si="3">F22-G22</f>
        <v>0</v>
      </c>
      <c r="I22" s="145">
        <f t="shared" ref="I22:I28" si="4">G22/100*70</f>
        <v>1400</v>
      </c>
      <c r="J22" s="162">
        <f t="shared" ref="J22:J28" si="5">G22/100*30</f>
        <v>600</v>
      </c>
      <c r="L22" s="132" t="s">
        <v>202</v>
      </c>
      <c r="M22" s="131">
        <f>SUM(G21:G29)</f>
        <v>15000</v>
      </c>
      <c r="O22" s="169" t="s">
        <v>208</v>
      </c>
      <c r="P22" s="170">
        <f>SUM(P16:P21)</f>
        <v>11800</v>
      </c>
    </row>
    <row r="23" spans="1:16" x14ac:dyDescent="0.25">
      <c r="A23" s="150">
        <v>3</v>
      </c>
      <c r="B23" s="8" t="s">
        <v>146</v>
      </c>
      <c r="C23" s="8" t="s">
        <v>246</v>
      </c>
      <c r="D23" s="8" t="s">
        <v>233</v>
      </c>
      <c r="E23" s="135">
        <v>46174</v>
      </c>
      <c r="F23" s="8">
        <v>2100</v>
      </c>
      <c r="G23" s="8">
        <v>2100</v>
      </c>
      <c r="H23" s="131">
        <f t="shared" si="3"/>
        <v>0</v>
      </c>
      <c r="I23" s="145">
        <f t="shared" si="4"/>
        <v>1470</v>
      </c>
      <c r="J23" s="162">
        <f t="shared" si="5"/>
        <v>630</v>
      </c>
      <c r="L23" s="132" t="s">
        <v>203</v>
      </c>
      <c r="M23" s="131">
        <f>M22/100*70</f>
        <v>10500</v>
      </c>
    </row>
    <row r="24" spans="1:16" x14ac:dyDescent="0.25">
      <c r="A24" s="150">
        <v>4</v>
      </c>
      <c r="B24" s="8" t="s">
        <v>247</v>
      </c>
      <c r="C24" s="8" t="s">
        <v>248</v>
      </c>
      <c r="D24" s="8" t="s">
        <v>249</v>
      </c>
      <c r="E24" s="135">
        <v>46174</v>
      </c>
      <c r="F24" s="8">
        <v>3200</v>
      </c>
      <c r="G24" s="8">
        <v>3200</v>
      </c>
      <c r="H24" s="131">
        <f t="shared" si="3"/>
        <v>0</v>
      </c>
      <c r="I24" s="145">
        <f t="shared" si="4"/>
        <v>2240</v>
      </c>
      <c r="J24" s="162">
        <f t="shared" si="5"/>
        <v>960</v>
      </c>
      <c r="L24" s="132" t="s">
        <v>204</v>
      </c>
      <c r="M24" s="131">
        <f>M22/100*30</f>
        <v>4500</v>
      </c>
    </row>
    <row r="25" spans="1:16" x14ac:dyDescent="0.25">
      <c r="A25" s="150">
        <v>5</v>
      </c>
      <c r="B25" s="8" t="s">
        <v>250</v>
      </c>
      <c r="C25" s="8" t="s">
        <v>251</v>
      </c>
      <c r="D25" s="8" t="s">
        <v>216</v>
      </c>
      <c r="E25" s="135">
        <v>46174</v>
      </c>
      <c r="F25" s="8">
        <v>2000</v>
      </c>
      <c r="G25" s="8">
        <v>2000</v>
      </c>
      <c r="H25" s="131">
        <f t="shared" si="3"/>
        <v>0</v>
      </c>
      <c r="I25" s="145">
        <f t="shared" si="4"/>
        <v>1400</v>
      </c>
      <c r="J25" s="162">
        <f t="shared" si="5"/>
        <v>600</v>
      </c>
      <c r="L25" s="132" t="s">
        <v>205</v>
      </c>
      <c r="M25" s="131">
        <f>M22</f>
        <v>15000</v>
      </c>
    </row>
    <row r="26" spans="1:16" x14ac:dyDescent="0.25">
      <c r="A26" s="150">
        <v>6</v>
      </c>
      <c r="B26" s="8" t="s">
        <v>252</v>
      </c>
      <c r="C26" s="8" t="s">
        <v>253</v>
      </c>
      <c r="D26" s="8" t="s">
        <v>235</v>
      </c>
      <c r="E26" s="135">
        <v>46174</v>
      </c>
      <c r="F26" s="8">
        <v>2000</v>
      </c>
      <c r="G26" s="143">
        <v>2000</v>
      </c>
      <c r="H26" s="131">
        <f t="shared" si="3"/>
        <v>0</v>
      </c>
      <c r="I26" s="145">
        <f t="shared" si="4"/>
        <v>1400</v>
      </c>
      <c r="J26" s="162">
        <f t="shared" si="5"/>
        <v>600</v>
      </c>
      <c r="L26" s="132" t="s">
        <v>48</v>
      </c>
      <c r="M26" s="131">
        <f>P22</f>
        <v>11800</v>
      </c>
    </row>
    <row r="27" spans="1:16" x14ac:dyDescent="0.25">
      <c r="A27" s="150">
        <v>7</v>
      </c>
      <c r="B27" s="8" t="s">
        <v>126</v>
      </c>
      <c r="C27" s="8" t="s">
        <v>127</v>
      </c>
      <c r="D27" s="8" t="s">
        <v>254</v>
      </c>
      <c r="E27" s="135">
        <v>46174</v>
      </c>
      <c r="F27" s="8">
        <v>700</v>
      </c>
      <c r="G27" s="143">
        <v>700</v>
      </c>
      <c r="H27" s="131">
        <f t="shared" si="3"/>
        <v>0</v>
      </c>
      <c r="I27" s="145">
        <f t="shared" si="4"/>
        <v>490</v>
      </c>
      <c r="J27" s="162">
        <f t="shared" si="5"/>
        <v>210</v>
      </c>
      <c r="L27" s="132" t="s">
        <v>207</v>
      </c>
      <c r="M27" s="131">
        <f>M23-M26</f>
        <v>-1300</v>
      </c>
    </row>
    <row r="28" spans="1:16" x14ac:dyDescent="0.25">
      <c r="A28" s="156">
        <v>8</v>
      </c>
      <c r="B28" s="163" t="s">
        <v>255</v>
      </c>
      <c r="C28" s="163"/>
      <c r="D28" s="163" t="s">
        <v>213</v>
      </c>
      <c r="E28" s="135">
        <v>46174</v>
      </c>
      <c r="F28" s="163"/>
      <c r="G28" s="163"/>
      <c r="H28" s="131">
        <f t="shared" si="3"/>
        <v>0</v>
      </c>
      <c r="I28" s="166">
        <f t="shared" si="4"/>
        <v>0</v>
      </c>
      <c r="J28" s="167">
        <f t="shared" si="5"/>
        <v>0</v>
      </c>
    </row>
    <row r="29" spans="1:16" x14ac:dyDescent="0.25">
      <c r="A29" s="156">
        <v>9</v>
      </c>
      <c r="B29" s="163" t="s">
        <v>256</v>
      </c>
      <c r="C29" s="163" t="s">
        <v>257</v>
      </c>
      <c r="D29" s="163"/>
      <c r="E29" s="135">
        <v>46174</v>
      </c>
      <c r="F29" s="163">
        <v>2000</v>
      </c>
      <c r="G29" s="163">
        <v>1000</v>
      </c>
      <c r="H29" s="131">
        <f t="shared" si="3"/>
        <v>1000</v>
      </c>
      <c r="I29" s="166">
        <f>G29/100*70</f>
        <v>700</v>
      </c>
      <c r="J29" s="167">
        <f>G29/100*30</f>
        <v>300</v>
      </c>
      <c r="L29" s="142"/>
    </row>
    <row r="30" spans="1:16" x14ac:dyDescent="0.25">
      <c r="A30" s="142"/>
      <c r="I30" s="142"/>
      <c r="L30" s="142"/>
    </row>
    <row r="47" spans="9:13" x14ac:dyDescent="0.25">
      <c r="L47" t="s">
        <v>258</v>
      </c>
    </row>
    <row r="48" spans="9:13" x14ac:dyDescent="0.25">
      <c r="I48" t="s">
        <v>259</v>
      </c>
      <c r="L48" s="177" t="s">
        <v>195</v>
      </c>
      <c r="M48" t="s">
        <v>260</v>
      </c>
    </row>
    <row r="49" spans="9:12" x14ac:dyDescent="0.25">
      <c r="I49" s="177" t="s">
        <v>195</v>
      </c>
      <c r="J49" t="s">
        <v>345</v>
      </c>
    </row>
    <row r="50" spans="9:12" x14ac:dyDescent="0.25">
      <c r="L50" s="177" t="s">
        <v>261</v>
      </c>
    </row>
    <row r="51" spans="9:12" x14ac:dyDescent="0.25">
      <c r="I51" s="177" t="s">
        <v>261</v>
      </c>
      <c r="L51" s="178" t="s">
        <v>255</v>
      </c>
    </row>
    <row r="52" spans="9:12" x14ac:dyDescent="0.25">
      <c r="I52" s="178" t="s">
        <v>236</v>
      </c>
      <c r="L52" s="178" t="s">
        <v>262</v>
      </c>
    </row>
    <row r="53" spans="9:12" x14ac:dyDescent="0.25">
      <c r="I53" s="178" t="s">
        <v>225</v>
      </c>
    </row>
    <row r="54" spans="9:12" x14ac:dyDescent="0.25">
      <c r="I54" s="178" t="s">
        <v>227</v>
      </c>
    </row>
    <row r="55" spans="9:12" x14ac:dyDescent="0.25">
      <c r="I55" s="178" t="s">
        <v>30</v>
      </c>
    </row>
    <row r="56" spans="9:12" x14ac:dyDescent="0.25">
      <c r="I56" s="178" t="s">
        <v>238</v>
      </c>
    </row>
    <row r="57" spans="9:12" x14ac:dyDescent="0.25">
      <c r="I57" s="178" t="s">
        <v>97</v>
      </c>
    </row>
    <row r="58" spans="9:12" x14ac:dyDescent="0.25">
      <c r="I58" s="178" t="s">
        <v>219</v>
      </c>
    </row>
    <row r="59" spans="9:12" x14ac:dyDescent="0.25">
      <c r="I59" s="178" t="s">
        <v>229</v>
      </c>
    </row>
    <row r="60" spans="9:12" x14ac:dyDescent="0.25">
      <c r="I60" s="178" t="s">
        <v>231</v>
      </c>
    </row>
    <row r="61" spans="9:12" x14ac:dyDescent="0.25">
      <c r="I61" s="178" t="s">
        <v>184</v>
      </c>
    </row>
    <row r="62" spans="9:12" x14ac:dyDescent="0.25">
      <c r="I62" s="178" t="s">
        <v>92</v>
      </c>
    </row>
    <row r="63" spans="9:12" x14ac:dyDescent="0.25">
      <c r="I63" s="178" t="s">
        <v>262</v>
      </c>
    </row>
  </sheetData>
  <mergeCells count="6">
    <mergeCell ref="E17:I18"/>
    <mergeCell ref="L20:M20"/>
    <mergeCell ref="O15:P15"/>
    <mergeCell ref="E1:I2"/>
    <mergeCell ref="L4:M4"/>
    <mergeCell ref="O4:P4"/>
  </mergeCells>
  <conditionalFormatting sqref="G6">
    <cfRule type="cellIs" dxfId="19" priority="3" operator="lessThan">
      <formula>500</formula>
    </cfRule>
  </conditionalFormatting>
  <conditionalFormatting sqref="H5:H15 G13">
    <cfRule type="cellIs" dxfId="18" priority="2" operator="greaterThan">
      <formula>0</formula>
    </cfRule>
  </conditionalFormatting>
  <conditionalFormatting sqref="H21:H29">
    <cfRule type="cellIs" dxfId="17" priority="1" operator="greaterThan">
      <formula>0</formula>
    </cfRule>
  </conditionalFormatting>
  <pageMargins left="0.7" right="0.7" top="0.75" bottom="0.75" header="0.3" footer="0.3"/>
  <pageSetup paperSize="9" orientation="landscape" r:id="rId3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8D09-D990-4EC4-A3D3-D34F55621F31}">
  <dimension ref="A1:U68"/>
  <sheetViews>
    <sheetView topLeftCell="C20" zoomScaleNormal="100" workbookViewId="0">
      <selection activeCell="N34" sqref="N34"/>
    </sheetView>
  </sheetViews>
  <sheetFormatPr defaultRowHeight="15" x14ac:dyDescent="0.25"/>
  <cols>
    <col min="1" max="1" width="8.140625" customWidth="1"/>
    <col min="2" max="2" width="18.42578125" customWidth="1"/>
    <col min="3" max="3" width="23" customWidth="1"/>
    <col min="5" max="5" width="11.5703125" customWidth="1"/>
    <col min="6" max="6" width="14.140625" customWidth="1"/>
    <col min="7" max="7" width="12.85546875" customWidth="1"/>
    <col min="8" max="8" width="13" customWidth="1"/>
    <col min="9" max="9" width="13.140625" bestFit="1" customWidth="1"/>
    <col min="10" max="10" width="7.140625" style="142" bestFit="1" customWidth="1"/>
    <col min="11" max="11" width="20.7109375" customWidth="1"/>
    <col min="12" max="12" width="20.140625" customWidth="1"/>
    <col min="13" max="13" width="18.7109375" customWidth="1"/>
    <col min="14" max="14" width="12.28515625" customWidth="1"/>
    <col min="15" max="15" width="19.42578125" customWidth="1"/>
    <col min="16" max="16" width="19" customWidth="1"/>
    <col min="18" max="18" width="11.28515625" customWidth="1"/>
    <col min="19" max="19" width="10.7109375" customWidth="1"/>
    <col min="20" max="20" width="12.5703125" customWidth="1"/>
    <col min="21" max="21" width="21" customWidth="1"/>
    <col min="22" max="22" width="22.140625" customWidth="1"/>
  </cols>
  <sheetData>
    <row r="1" spans="1:21" x14ac:dyDescent="0.25">
      <c r="A1" s="142" t="s">
        <v>300</v>
      </c>
      <c r="E1" s="391" t="s">
        <v>217</v>
      </c>
      <c r="F1" s="391"/>
      <c r="G1" s="391"/>
      <c r="H1" s="391"/>
      <c r="I1" s="391"/>
    </row>
    <row r="2" spans="1:21" x14ac:dyDescent="0.25">
      <c r="A2" s="142"/>
      <c r="E2" s="391"/>
      <c r="F2" s="391"/>
      <c r="G2" s="391"/>
      <c r="H2" s="391"/>
      <c r="I2" s="391"/>
    </row>
    <row r="3" spans="1:21" x14ac:dyDescent="0.25">
      <c r="A3" s="142"/>
      <c r="I3" s="142"/>
    </row>
    <row r="4" spans="1:21" x14ac:dyDescent="0.25">
      <c r="A4" s="152" t="s">
        <v>1</v>
      </c>
      <c r="B4" s="153" t="s">
        <v>2</v>
      </c>
      <c r="C4" s="153" t="s">
        <v>194</v>
      </c>
      <c r="D4" s="153" t="s">
        <v>89</v>
      </c>
      <c r="E4" s="153" t="s">
        <v>292</v>
      </c>
      <c r="F4" s="153" t="s">
        <v>291</v>
      </c>
      <c r="G4" s="153" t="s">
        <v>37</v>
      </c>
      <c r="H4" s="153" t="s">
        <v>195</v>
      </c>
      <c r="I4" s="153" t="s">
        <v>196</v>
      </c>
      <c r="J4" s="154" t="s">
        <v>197</v>
      </c>
      <c r="K4" s="179" t="s">
        <v>198</v>
      </c>
      <c r="M4" s="392" t="s">
        <v>218</v>
      </c>
      <c r="N4" s="392"/>
      <c r="P4" s="392" t="s">
        <v>200</v>
      </c>
      <c r="Q4" s="392"/>
    </row>
    <row r="5" spans="1:21" x14ac:dyDescent="0.25">
      <c r="A5" s="188">
        <v>1</v>
      </c>
      <c r="B5" s="189" t="s">
        <v>263</v>
      </c>
      <c r="C5" s="189" t="s">
        <v>264</v>
      </c>
      <c r="D5" s="190" t="s">
        <v>96</v>
      </c>
      <c r="E5" s="191">
        <v>46204</v>
      </c>
      <c r="F5" s="192"/>
      <c r="G5" s="193">
        <v>3200</v>
      </c>
      <c r="H5" s="194">
        <v>3200</v>
      </c>
      <c r="I5" s="195">
        <f>Table146[[#This Row],[Total Fee]]-Table146[[#This Row],[Fee Paid]]</f>
        <v>0</v>
      </c>
      <c r="J5" s="196">
        <f>Table146[[#This Row],[Fee Paid]]/100*70</f>
        <v>2240</v>
      </c>
      <c r="K5" s="197">
        <f>Table146[[#This Row],[Fee Paid]]/100*30</f>
        <v>960</v>
      </c>
      <c r="M5" s="132" t="s">
        <v>201</v>
      </c>
      <c r="N5" s="131">
        <f>SUM(Table146[Total Fee])</f>
        <v>24700</v>
      </c>
      <c r="O5" s="140">
        <f>N6/100*75</f>
        <v>15900</v>
      </c>
      <c r="P5" s="130">
        <v>46237</v>
      </c>
      <c r="Q5" s="128">
        <v>15000</v>
      </c>
    </row>
    <row r="6" spans="1:21" x14ac:dyDescent="0.25">
      <c r="A6" s="188">
        <v>2</v>
      </c>
      <c r="B6" s="138" t="s">
        <v>265</v>
      </c>
      <c r="C6" s="138" t="s">
        <v>125</v>
      </c>
      <c r="D6" s="134" t="s">
        <v>96</v>
      </c>
      <c r="E6" s="135">
        <v>46204</v>
      </c>
      <c r="F6" s="135"/>
      <c r="G6" s="138">
        <v>1000</v>
      </c>
      <c r="H6" s="107">
        <v>1000</v>
      </c>
      <c r="I6" s="136">
        <f>Table146[[#This Row],[Total Fee]]-Table146[[#This Row],[Fee Paid]]</f>
        <v>0</v>
      </c>
      <c r="J6" s="196">
        <f>Table146[[#This Row],[Fee Paid]]/100*70</f>
        <v>700</v>
      </c>
      <c r="K6" s="151">
        <f>Table146[[#This Row],[Fee Paid]]/100*30</f>
        <v>300</v>
      </c>
      <c r="M6" s="132" t="s">
        <v>202</v>
      </c>
      <c r="N6" s="131">
        <f>SUM(Table146[Fee Paid])</f>
        <v>21200</v>
      </c>
      <c r="O6" s="141"/>
      <c r="P6" s="130"/>
      <c r="Q6" s="128"/>
      <c r="U6" s="107">
        <v>3200</v>
      </c>
    </row>
    <row r="7" spans="1:21" x14ac:dyDescent="0.25">
      <c r="A7" s="188">
        <v>3</v>
      </c>
      <c r="B7" s="189" t="s">
        <v>266</v>
      </c>
      <c r="C7" s="189" t="s">
        <v>125</v>
      </c>
      <c r="D7" s="190" t="s">
        <v>115</v>
      </c>
      <c r="E7" s="191">
        <v>46204</v>
      </c>
      <c r="F7" s="192"/>
      <c r="G7" s="193">
        <v>1500</v>
      </c>
      <c r="H7" s="194">
        <v>1500</v>
      </c>
      <c r="I7" s="195">
        <f>Table146[[#This Row],[Total Fee]]-Table146[[#This Row],[Fee Paid]]</f>
        <v>0</v>
      </c>
      <c r="J7" s="196">
        <f>Table146[[#This Row],[Fee Paid]]/100*70</f>
        <v>1050</v>
      </c>
      <c r="K7" s="197">
        <f>Table146[[#This Row],[Fee Paid]]/100*30</f>
        <v>450</v>
      </c>
      <c r="M7" s="132" t="s">
        <v>203</v>
      </c>
      <c r="N7" s="131">
        <f>N6/100*70</f>
        <v>14840</v>
      </c>
      <c r="O7" s="141"/>
      <c r="P7" s="130"/>
      <c r="Q7" s="128"/>
      <c r="U7" s="107">
        <v>1000</v>
      </c>
    </row>
    <row r="8" spans="1:21" x14ac:dyDescent="0.25">
      <c r="A8" s="188">
        <v>4</v>
      </c>
      <c r="B8" s="138" t="s">
        <v>267</v>
      </c>
      <c r="C8" s="138" t="s">
        <v>268</v>
      </c>
      <c r="D8" s="134" t="s">
        <v>112</v>
      </c>
      <c r="E8" s="135">
        <v>46204</v>
      </c>
      <c r="F8" s="135"/>
      <c r="G8" s="138">
        <v>3000</v>
      </c>
      <c r="H8" s="107">
        <v>3000</v>
      </c>
      <c r="I8" s="136">
        <f>Table146[[#This Row],[Total Fee]]-Table146[[#This Row],[Fee Paid]]</f>
        <v>0</v>
      </c>
      <c r="J8" s="196">
        <f>Table146[[#This Row],[Fee Paid]]/100*70</f>
        <v>2100</v>
      </c>
      <c r="K8" s="151">
        <f>Table146[[#This Row],[Fee Paid]]/100*30</f>
        <v>900</v>
      </c>
      <c r="M8" s="132" t="s">
        <v>204</v>
      </c>
      <c r="N8" s="131">
        <f>N6/100*30</f>
        <v>6360</v>
      </c>
      <c r="O8" s="141"/>
      <c r="P8" s="128"/>
      <c r="Q8" s="128"/>
      <c r="U8" s="107">
        <v>1500</v>
      </c>
    </row>
    <row r="9" spans="1:21" x14ac:dyDescent="0.25">
      <c r="A9" s="188">
        <v>5</v>
      </c>
      <c r="B9" s="189" t="s">
        <v>269</v>
      </c>
      <c r="C9" s="189" t="s">
        <v>298</v>
      </c>
      <c r="D9" s="190" t="s">
        <v>112</v>
      </c>
      <c r="E9" s="191">
        <v>46204</v>
      </c>
      <c r="F9" s="192"/>
      <c r="G9" s="194">
        <v>3000</v>
      </c>
      <c r="H9" s="194">
        <v>3000</v>
      </c>
      <c r="I9" s="195">
        <f>Table146[[#This Row],[Total Fee]]-Table146[[#This Row],[Fee Paid]]</f>
        <v>0</v>
      </c>
      <c r="J9" s="196">
        <f>Table146[[#This Row],[Fee Paid]]/100*70</f>
        <v>2100</v>
      </c>
      <c r="K9" s="197">
        <f>Table146[[#This Row],[Fee Paid]]/100*30</f>
        <v>900</v>
      </c>
      <c r="M9" s="132" t="s">
        <v>205</v>
      </c>
      <c r="N9" s="131">
        <f>SUM(N7:N8)</f>
        <v>21200</v>
      </c>
      <c r="O9" s="141"/>
      <c r="P9" s="128"/>
      <c r="Q9" s="128"/>
      <c r="U9" s="107">
        <v>3000</v>
      </c>
    </row>
    <row r="10" spans="1:21" ht="15.75" thickBot="1" x14ac:dyDescent="0.3">
      <c r="A10" s="188">
        <v>6</v>
      </c>
      <c r="B10" s="138" t="s">
        <v>270</v>
      </c>
      <c r="C10" s="138" t="s">
        <v>277</v>
      </c>
      <c r="D10" s="134" t="s">
        <v>112</v>
      </c>
      <c r="E10" s="135">
        <v>46204</v>
      </c>
      <c r="F10" s="135"/>
      <c r="G10" s="138">
        <v>1500</v>
      </c>
      <c r="H10" s="107">
        <v>0</v>
      </c>
      <c r="I10" s="136">
        <f>Table146[[#This Row],[Total Fee]]-Table146[[#This Row],[Fee Paid]]</f>
        <v>1500</v>
      </c>
      <c r="J10" s="196">
        <f>Table146[[#This Row],[Fee Paid]]/100*70</f>
        <v>0</v>
      </c>
      <c r="K10" s="151">
        <f>Table146[[#This Row],[Fee Paid]]/100*30</f>
        <v>0</v>
      </c>
      <c r="M10" s="132" t="s">
        <v>48</v>
      </c>
      <c r="N10" s="131">
        <f>Q11</f>
        <v>15000</v>
      </c>
      <c r="O10" s="141" t="s">
        <v>301</v>
      </c>
      <c r="P10" s="168"/>
      <c r="Q10" s="168"/>
      <c r="U10" s="107">
        <v>4000</v>
      </c>
    </row>
    <row r="11" spans="1:21" ht="15.75" thickBot="1" x14ac:dyDescent="0.3">
      <c r="A11" s="188">
        <v>7</v>
      </c>
      <c r="B11" s="189" t="s">
        <v>271</v>
      </c>
      <c r="C11" s="189" t="s">
        <v>272</v>
      </c>
      <c r="D11" s="190" t="s">
        <v>235</v>
      </c>
      <c r="E11" s="191">
        <v>46204</v>
      </c>
      <c r="F11" s="192"/>
      <c r="G11" s="193">
        <v>1600</v>
      </c>
      <c r="H11" s="194">
        <v>1600</v>
      </c>
      <c r="I11" s="195">
        <f>Table146[[#This Row],[Total Fee]]-Table146[[#This Row],[Fee Paid]]</f>
        <v>0</v>
      </c>
      <c r="J11" s="196">
        <v>1400</v>
      </c>
      <c r="K11" s="197">
        <f>Table146[[#This Row],[Fee Paid]]/100*30</f>
        <v>480</v>
      </c>
      <c r="M11" s="132" t="s">
        <v>207</v>
      </c>
      <c r="N11" s="131">
        <f>N7-N10</f>
        <v>-160</v>
      </c>
      <c r="O11" s="141"/>
      <c r="P11" s="169" t="s">
        <v>208</v>
      </c>
      <c r="Q11" s="170">
        <f>SUM(Q5:Q10)</f>
        <v>15000</v>
      </c>
      <c r="U11" s="107">
        <v>1500</v>
      </c>
    </row>
    <row r="12" spans="1:21" ht="14.25" customHeight="1" x14ac:dyDescent="0.25">
      <c r="A12" s="188">
        <v>8</v>
      </c>
      <c r="B12" s="138" t="s">
        <v>273</v>
      </c>
      <c r="C12" s="138" t="s">
        <v>125</v>
      </c>
      <c r="D12" s="134" t="s">
        <v>274</v>
      </c>
      <c r="E12" s="135">
        <v>46204</v>
      </c>
      <c r="F12" s="135"/>
      <c r="G12" s="138">
        <v>700</v>
      </c>
      <c r="H12" s="107">
        <v>700</v>
      </c>
      <c r="I12" s="136">
        <f>Table146[[#This Row],[Total Fee]]-Table146[[#This Row],[Fee Paid]]</f>
        <v>0</v>
      </c>
      <c r="J12" s="196">
        <v>700</v>
      </c>
      <c r="K12" s="151">
        <f>Table146[[#This Row],[Fee Paid]]/100*30</f>
        <v>210</v>
      </c>
      <c r="O12" s="141"/>
      <c r="U12" s="107">
        <v>2000</v>
      </c>
    </row>
    <row r="13" spans="1:21" x14ac:dyDescent="0.25">
      <c r="A13" s="188">
        <v>9</v>
      </c>
      <c r="B13" s="189" t="s">
        <v>276</v>
      </c>
      <c r="C13" s="189" t="s">
        <v>277</v>
      </c>
      <c r="D13" s="190" t="s">
        <v>96</v>
      </c>
      <c r="E13" s="191">
        <v>46204</v>
      </c>
      <c r="F13" s="192"/>
      <c r="G13" s="193">
        <v>1000</v>
      </c>
      <c r="H13" s="194">
        <v>1000</v>
      </c>
      <c r="I13" s="195">
        <v>0</v>
      </c>
      <c r="J13" s="196">
        <f>Table146[[#This Row],[Fee Paid]]/100*70</f>
        <v>700</v>
      </c>
      <c r="K13" s="197">
        <f>Table146[[#This Row],[Fee Paid]]/100*30</f>
        <v>300</v>
      </c>
      <c r="U13" s="107">
        <v>1000</v>
      </c>
    </row>
    <row r="14" spans="1:21" x14ac:dyDescent="0.25">
      <c r="A14" s="188">
        <v>10</v>
      </c>
      <c r="B14" s="138" t="s">
        <v>278</v>
      </c>
      <c r="C14" s="138" t="s">
        <v>268</v>
      </c>
      <c r="D14" s="190" t="s">
        <v>91</v>
      </c>
      <c r="E14" s="191">
        <v>46204</v>
      </c>
      <c r="F14" s="192"/>
      <c r="G14" s="193">
        <v>1000</v>
      </c>
      <c r="H14" s="194">
        <v>1000</v>
      </c>
      <c r="I14" s="195">
        <f>Table146[[#This Row],[Total Fee]]-Table146[[#This Row],[Fee Paid]]</f>
        <v>0</v>
      </c>
      <c r="J14" s="196">
        <f>Table146[[#This Row],[Fee Paid]]/100*70</f>
        <v>700</v>
      </c>
      <c r="K14" s="197">
        <f>Table146[[#This Row],[Fee Paid]]/100*30</f>
        <v>300</v>
      </c>
      <c r="U14" s="107">
        <v>0</v>
      </c>
    </row>
    <row r="15" spans="1:21" x14ac:dyDescent="0.25">
      <c r="A15" s="188">
        <v>11</v>
      </c>
      <c r="B15" s="189" t="s">
        <v>287</v>
      </c>
      <c r="C15" s="189" t="s">
        <v>288</v>
      </c>
      <c r="D15" s="134" t="s">
        <v>91</v>
      </c>
      <c r="E15" s="135">
        <v>46204</v>
      </c>
      <c r="F15" s="135"/>
      <c r="G15" s="138">
        <v>1000</v>
      </c>
      <c r="H15" s="138">
        <v>1000</v>
      </c>
      <c r="I15" s="136">
        <f>Table146[[#This Row],[Total Fee]]-Table146[[#This Row],[Fee Paid]]</f>
        <v>0</v>
      </c>
      <c r="J15" s="196">
        <f>Table146[[#This Row],[Fee Paid]]/100*70</f>
        <v>700</v>
      </c>
      <c r="K15" s="151">
        <f>Table146[[#This Row],[Fee Paid]]/100*30</f>
        <v>300</v>
      </c>
      <c r="M15">
        <f>SUM(Table146[Fee Paid])</f>
        <v>21200</v>
      </c>
      <c r="O15" s="141"/>
      <c r="U15" s="187">
        <v>2000</v>
      </c>
    </row>
    <row r="16" spans="1:21" x14ac:dyDescent="0.25">
      <c r="A16" s="188">
        <v>12</v>
      </c>
      <c r="B16" s="138" t="s">
        <v>36</v>
      </c>
      <c r="C16" s="138" t="s">
        <v>125</v>
      </c>
      <c r="D16" s="190" t="s">
        <v>112</v>
      </c>
      <c r="E16" s="191">
        <v>46204</v>
      </c>
      <c r="F16" s="192"/>
      <c r="G16" s="193">
        <v>500</v>
      </c>
      <c r="H16" s="194">
        <v>500</v>
      </c>
      <c r="I16" s="195">
        <f>Table146[[#This Row],[Total Fee]]-Table146[[#This Row],[Fee Paid]]</f>
        <v>0</v>
      </c>
      <c r="J16" s="196">
        <v>500</v>
      </c>
      <c r="K16" s="197">
        <f>Table146[[#This Row],[Fee Paid]]/100*30</f>
        <v>150</v>
      </c>
      <c r="O16" s="141"/>
      <c r="U16" s="187">
        <v>0</v>
      </c>
    </row>
    <row r="17" spans="1:21" x14ac:dyDescent="0.25">
      <c r="A17" s="188">
        <v>13</v>
      </c>
      <c r="B17" s="189" t="s">
        <v>289</v>
      </c>
      <c r="C17" s="189" t="s">
        <v>125</v>
      </c>
      <c r="D17" s="134" t="s">
        <v>235</v>
      </c>
      <c r="E17" s="135">
        <v>46204</v>
      </c>
      <c r="F17" s="135"/>
      <c r="G17" s="138">
        <v>1000</v>
      </c>
      <c r="H17" s="107">
        <v>1000</v>
      </c>
      <c r="I17" s="136">
        <f>Table146[[#This Row],[Total Fee]]-Table146[[#This Row],[Fee Paid]]</f>
        <v>0</v>
      </c>
      <c r="J17" s="196">
        <f>Table146[[#This Row],[Fee Paid]]/100*70</f>
        <v>700</v>
      </c>
      <c r="K17" s="151">
        <f>Table146[[#This Row],[Fee Paid]]/100*30</f>
        <v>300</v>
      </c>
      <c r="O17" s="141"/>
      <c r="U17" s="107">
        <v>1250</v>
      </c>
    </row>
    <row r="18" spans="1:21" x14ac:dyDescent="0.25">
      <c r="A18" s="188">
        <v>14</v>
      </c>
      <c r="B18" s="138" t="s">
        <v>227</v>
      </c>
      <c r="C18" s="138" t="s">
        <v>293</v>
      </c>
      <c r="D18" s="134" t="s">
        <v>96</v>
      </c>
      <c r="E18" s="135"/>
      <c r="F18" s="135">
        <v>46223</v>
      </c>
      <c r="G18" s="138">
        <v>2000</v>
      </c>
      <c r="H18" s="107"/>
      <c r="I18" s="136">
        <f>Table146[[#This Row],[Total Fee]]-Table146[[#This Row],[Fee Paid]]</f>
        <v>2000</v>
      </c>
      <c r="J18" s="196">
        <f>Table146[[#This Row],[Fee Paid]]/100*70</f>
        <v>0</v>
      </c>
      <c r="K18" s="151">
        <f>Table146[[#This Row],[Fee Paid]]/100*30</f>
        <v>0</v>
      </c>
      <c r="O18" s="141"/>
      <c r="U18" s="107">
        <v>500</v>
      </c>
    </row>
    <row r="19" spans="1:21" x14ac:dyDescent="0.25">
      <c r="A19" s="188">
        <v>15</v>
      </c>
      <c r="B19" s="189" t="s">
        <v>40</v>
      </c>
      <c r="C19" s="189" t="s">
        <v>67</v>
      </c>
      <c r="D19" s="134" t="s">
        <v>112</v>
      </c>
      <c r="E19" s="135"/>
      <c r="F19" s="135"/>
      <c r="G19" s="138">
        <v>1200</v>
      </c>
      <c r="H19" s="107">
        <v>1200</v>
      </c>
      <c r="I19" s="136">
        <f>Table146[[#This Row],[Total Fee]]-Table146[[#This Row],[Fee Paid]]</f>
        <v>0</v>
      </c>
      <c r="J19" s="196">
        <v>1050</v>
      </c>
      <c r="K19" s="151">
        <f>Table146[[#This Row],[Fee Paid]]/100*30</f>
        <v>360</v>
      </c>
      <c r="O19" s="141"/>
      <c r="U19" s="107">
        <v>1000</v>
      </c>
    </row>
    <row r="20" spans="1:21" x14ac:dyDescent="0.25">
      <c r="A20" s="188">
        <v>16</v>
      </c>
      <c r="B20" s="138" t="s">
        <v>299</v>
      </c>
      <c r="C20" s="138"/>
      <c r="D20" s="172"/>
      <c r="E20" s="159"/>
      <c r="F20" s="159"/>
      <c r="G20">
        <v>1500</v>
      </c>
      <c r="H20" s="173">
        <v>1500</v>
      </c>
      <c r="I20" s="174">
        <f>Table146[[#This Row],[Total Fee]]-Table146[[#This Row],[Fee Paid]]</f>
        <v>0</v>
      </c>
      <c r="J20" s="196">
        <f>Table146[[#This Row],[Fee Paid]]/100*70</f>
        <v>1050</v>
      </c>
      <c r="K20" s="161">
        <f>Table146[[#This Row],[Fee Paid]]/100*30</f>
        <v>450</v>
      </c>
      <c r="L20" s="141"/>
      <c r="O20" s="141"/>
      <c r="U20" s="187">
        <v>2000</v>
      </c>
    </row>
    <row r="21" spans="1:21" s="207" customFormat="1" x14ac:dyDescent="0.25">
      <c r="A21" s="206"/>
      <c r="B21" s="201"/>
      <c r="D21" s="202"/>
      <c r="E21" s="203"/>
      <c r="F21" s="203"/>
      <c r="H21" s="208"/>
      <c r="I21" s="204"/>
      <c r="J21" s="205"/>
      <c r="K21" s="205"/>
      <c r="L21" s="209"/>
      <c r="O21" s="209"/>
      <c r="P21"/>
      <c r="Q21"/>
      <c r="U21" s="211"/>
    </row>
    <row r="22" spans="1:21" s="207" customFormat="1" x14ac:dyDescent="0.25">
      <c r="A22" s="206"/>
      <c r="B22" s="201"/>
      <c r="D22" s="202"/>
      <c r="E22" s="203"/>
      <c r="F22" s="203"/>
      <c r="H22" s="208"/>
      <c r="I22" s="204"/>
      <c r="J22" s="205"/>
      <c r="K22" s="205"/>
      <c r="L22" s="209"/>
      <c r="O22" s="209"/>
      <c r="P22"/>
      <c r="Q22"/>
      <c r="U22" s="211"/>
    </row>
    <row r="23" spans="1:21" x14ac:dyDescent="0.25">
      <c r="A23" s="142"/>
      <c r="E23" s="391" t="s">
        <v>240</v>
      </c>
      <c r="F23" s="391"/>
      <c r="G23" s="391"/>
      <c r="H23" s="391"/>
      <c r="I23" s="391"/>
      <c r="O23" s="141"/>
      <c r="U23" s="187"/>
    </row>
    <row r="24" spans="1:21" x14ac:dyDescent="0.25">
      <c r="A24" s="142"/>
      <c r="E24" s="391"/>
      <c r="F24" s="391"/>
      <c r="G24" s="391"/>
      <c r="H24" s="391"/>
      <c r="I24" s="391"/>
      <c r="O24" s="141"/>
      <c r="U24" s="107">
        <v>1200</v>
      </c>
    </row>
    <row r="25" spans="1:21" ht="15" customHeight="1" x14ac:dyDescent="0.25">
      <c r="A25" s="142"/>
      <c r="I25" s="142"/>
      <c r="N25" s="141"/>
      <c r="O25" s="212"/>
      <c r="P25" s="392" t="s">
        <v>200</v>
      </c>
      <c r="Q25" s="392"/>
    </row>
    <row r="26" spans="1:21" ht="15" customHeight="1" x14ac:dyDescent="0.25">
      <c r="A26" s="152" t="s">
        <v>1</v>
      </c>
      <c r="B26" s="153" t="s">
        <v>2</v>
      </c>
      <c r="C26" s="153" t="s">
        <v>194</v>
      </c>
      <c r="D26" s="153" t="s">
        <v>89</v>
      </c>
      <c r="E26" s="153" t="s">
        <v>292</v>
      </c>
      <c r="F26" s="153" t="s">
        <v>291</v>
      </c>
      <c r="G26" s="153" t="s">
        <v>37</v>
      </c>
      <c r="H26" s="153" t="s">
        <v>195</v>
      </c>
      <c r="I26" s="153" t="s">
        <v>196</v>
      </c>
      <c r="J26" s="154" t="s">
        <v>197</v>
      </c>
      <c r="K26" s="179" t="s">
        <v>198</v>
      </c>
      <c r="P26" s="214">
        <v>46237</v>
      </c>
      <c r="Q26" s="186">
        <v>10000</v>
      </c>
    </row>
    <row r="27" spans="1:21" x14ac:dyDescent="0.25">
      <c r="A27" s="150">
        <v>1</v>
      </c>
      <c r="B27" s="50" t="s">
        <v>263</v>
      </c>
      <c r="C27" s="8" t="s">
        <v>279</v>
      </c>
      <c r="D27" s="8" t="s">
        <v>96</v>
      </c>
      <c r="E27" s="135">
        <v>46204</v>
      </c>
      <c r="F27" s="135"/>
      <c r="G27" s="8">
        <v>3200</v>
      </c>
      <c r="H27" s="46">
        <v>3200</v>
      </c>
      <c r="I27" s="131">
        <f>G27-Table257[[#This Row],[Fee Paid]]</f>
        <v>0</v>
      </c>
      <c r="J27" s="145">
        <f>Table257[[#This Row],[Fee Paid]]/100*75</f>
        <v>2400</v>
      </c>
      <c r="K27" s="162">
        <f t="shared" ref="K27:K32" si="0">U38/100*30</f>
        <v>960</v>
      </c>
      <c r="N27" s="141"/>
      <c r="O27" s="212"/>
      <c r="P27" s="186"/>
      <c r="Q27" s="186"/>
    </row>
    <row r="28" spans="1:21" x14ac:dyDescent="0.25">
      <c r="A28" s="150">
        <v>2</v>
      </c>
      <c r="B28" s="50" t="s">
        <v>280</v>
      </c>
      <c r="C28" s="8" t="s">
        <v>281</v>
      </c>
      <c r="D28" s="8" t="s">
        <v>112</v>
      </c>
      <c r="E28" s="135">
        <v>46204</v>
      </c>
      <c r="F28" s="135"/>
      <c r="G28" s="8">
        <v>1500</v>
      </c>
      <c r="H28" s="8"/>
      <c r="I28" s="131">
        <f>G28-Table257[[#This Row],[Fee Paid]]</f>
        <v>1500</v>
      </c>
      <c r="J28" s="145">
        <f>Table257[[#This Row],[Fee Paid]]/100*75</f>
        <v>0</v>
      </c>
      <c r="K28" s="162">
        <f t="shared" si="0"/>
        <v>450</v>
      </c>
      <c r="M28" s="392" t="s">
        <v>241</v>
      </c>
      <c r="N28" s="392"/>
      <c r="P28" s="186"/>
      <c r="Q28" s="186"/>
    </row>
    <row r="29" spans="1:21" x14ac:dyDescent="0.25">
      <c r="A29" s="150">
        <v>3</v>
      </c>
      <c r="B29" s="50" t="s">
        <v>282</v>
      </c>
      <c r="C29" s="8" t="s">
        <v>283</v>
      </c>
      <c r="D29" s="8" t="s">
        <v>235</v>
      </c>
      <c r="E29" s="135">
        <v>46204</v>
      </c>
      <c r="F29" s="135"/>
      <c r="G29" s="8">
        <v>1600</v>
      </c>
      <c r="H29" s="8">
        <v>1600</v>
      </c>
      <c r="I29" s="131">
        <f>G29-Table257[[#This Row],[Fee Paid]]</f>
        <v>0</v>
      </c>
      <c r="J29" s="145">
        <f>Table257[[#This Row],[Fee Paid]]/100*75</f>
        <v>1200</v>
      </c>
      <c r="K29" s="162">
        <f t="shared" si="0"/>
        <v>900</v>
      </c>
      <c r="M29" s="132" t="s">
        <v>201</v>
      </c>
      <c r="N29" s="131">
        <f>SUM(Table257[Total Fee])</f>
        <v>16400</v>
      </c>
      <c r="P29" s="130"/>
      <c r="Q29" s="128"/>
    </row>
    <row r="30" spans="1:21" x14ac:dyDescent="0.25">
      <c r="A30" s="150">
        <v>4</v>
      </c>
      <c r="B30" s="50" t="s">
        <v>273</v>
      </c>
      <c r="C30" s="8" t="s">
        <v>283</v>
      </c>
      <c r="D30" s="8" t="s">
        <v>274</v>
      </c>
      <c r="E30" s="135">
        <v>46204</v>
      </c>
      <c r="F30" s="135"/>
      <c r="G30" s="8">
        <v>2100</v>
      </c>
      <c r="H30" s="8">
        <v>2100</v>
      </c>
      <c r="I30" s="131">
        <f>G30-Table257[[#This Row],[Fee Paid]]</f>
        <v>0</v>
      </c>
      <c r="J30" s="145">
        <f>Table257[[#This Row],[Fee Paid]]/100*75</f>
        <v>1575</v>
      </c>
      <c r="K30" s="162">
        <f t="shared" si="0"/>
        <v>900</v>
      </c>
      <c r="M30" s="132" t="s">
        <v>202</v>
      </c>
      <c r="N30" s="131">
        <f>SUM(Table257[Fee Paid])</f>
        <v>12900</v>
      </c>
      <c r="O30">
        <f>N30/100*75</f>
        <v>9675</v>
      </c>
      <c r="P30" s="130"/>
      <c r="Q30" s="128"/>
    </row>
    <row r="31" spans="1:21" x14ac:dyDescent="0.25">
      <c r="A31" s="150">
        <v>5</v>
      </c>
      <c r="B31" s="50" t="s">
        <v>275</v>
      </c>
      <c r="C31" s="8" t="s">
        <v>284</v>
      </c>
      <c r="D31" s="8" t="s">
        <v>96</v>
      </c>
      <c r="E31" s="135">
        <v>46204</v>
      </c>
      <c r="F31" s="135"/>
      <c r="G31" s="8">
        <v>2000</v>
      </c>
      <c r="H31" s="8">
        <v>2000</v>
      </c>
      <c r="I31" s="131">
        <f>G31-Table257[[#This Row],[Fee Paid]]</f>
        <v>0</v>
      </c>
      <c r="J31" s="145">
        <f>Table257[[#This Row],[Fee Paid]]/100*75</f>
        <v>1500</v>
      </c>
      <c r="K31" s="162">
        <f t="shared" si="0"/>
        <v>600</v>
      </c>
      <c r="M31" s="132" t="s">
        <v>203</v>
      </c>
      <c r="N31" s="131">
        <f>N30/100*70</f>
        <v>9030</v>
      </c>
      <c r="P31" s="210"/>
      <c r="Q31" s="213"/>
    </row>
    <row r="32" spans="1:21" x14ac:dyDescent="0.25">
      <c r="A32" s="150">
        <v>6</v>
      </c>
      <c r="B32" s="50" t="s">
        <v>278</v>
      </c>
      <c r="C32" s="8" t="s">
        <v>285</v>
      </c>
      <c r="D32" s="8" t="s">
        <v>91</v>
      </c>
      <c r="E32" s="135">
        <v>46204</v>
      </c>
      <c r="F32" s="135"/>
      <c r="G32" s="8">
        <v>1000</v>
      </c>
      <c r="H32" s="8">
        <v>1000</v>
      </c>
      <c r="I32" s="131">
        <f>G32-Table257[[#This Row],[Fee Paid]]</f>
        <v>0</v>
      </c>
      <c r="J32" s="145">
        <f>Table257[[#This Row],[Fee Paid]]/100*75</f>
        <v>750</v>
      </c>
      <c r="K32" s="162">
        <f t="shared" si="0"/>
        <v>0</v>
      </c>
      <c r="M32" s="132" t="s">
        <v>204</v>
      </c>
      <c r="N32" s="131">
        <f>N30/100*30</f>
        <v>3870</v>
      </c>
      <c r="P32" s="210"/>
      <c r="Q32" s="213"/>
    </row>
    <row r="33" spans="1:21" x14ac:dyDescent="0.25">
      <c r="A33" s="156">
        <v>8</v>
      </c>
      <c r="B33" s="50" t="s">
        <v>242</v>
      </c>
      <c r="C33" s="163" t="s">
        <v>286</v>
      </c>
      <c r="D33" s="163" t="s">
        <v>91</v>
      </c>
      <c r="E33" s="135">
        <v>46204</v>
      </c>
      <c r="F33" s="159"/>
      <c r="G33" s="163">
        <v>1000</v>
      </c>
      <c r="H33" s="8">
        <v>1000</v>
      </c>
      <c r="I33" s="131">
        <f>G33-Table257[[#This Row],[Fee Paid]]</f>
        <v>0</v>
      </c>
      <c r="J33" s="145">
        <f>Table257[[#This Row],[Fee Paid]]/100*75</f>
        <v>750</v>
      </c>
      <c r="K33" s="167">
        <f t="shared" ref="K33:K40" si="1">U45/100*30</f>
        <v>375</v>
      </c>
      <c r="M33" s="132" t="s">
        <v>205</v>
      </c>
      <c r="N33" s="131">
        <f>SUM(N31:N32)</f>
        <v>12900</v>
      </c>
      <c r="P33" s="130"/>
      <c r="Q33" s="128"/>
    </row>
    <row r="34" spans="1:21" x14ac:dyDescent="0.25">
      <c r="A34" s="156">
        <v>9</v>
      </c>
      <c r="B34" s="50" t="s">
        <v>289</v>
      </c>
      <c r="C34" s="163" t="s">
        <v>23</v>
      </c>
      <c r="D34" s="163" t="s">
        <v>235</v>
      </c>
      <c r="E34" s="135">
        <v>46204</v>
      </c>
      <c r="F34" s="159"/>
      <c r="G34" s="163">
        <v>1000</v>
      </c>
      <c r="H34" s="8">
        <v>1000</v>
      </c>
      <c r="I34" s="131">
        <f>G34-Table257[[#This Row],[Fee Paid]]</f>
        <v>0</v>
      </c>
      <c r="J34" s="145">
        <f>Table257[[#This Row],[Fee Paid]]/100*75</f>
        <v>750</v>
      </c>
      <c r="K34" s="167">
        <f t="shared" si="1"/>
        <v>300</v>
      </c>
      <c r="M34" s="132" t="s">
        <v>48</v>
      </c>
      <c r="N34" s="131">
        <f>Q40</f>
        <v>10000</v>
      </c>
      <c r="P34" s="130"/>
      <c r="Q34" s="128"/>
    </row>
    <row r="35" spans="1:21" x14ac:dyDescent="0.25">
      <c r="A35" s="156">
        <v>10</v>
      </c>
      <c r="B35" s="50" t="s">
        <v>227</v>
      </c>
      <c r="C35" s="163" t="s">
        <v>290</v>
      </c>
      <c r="D35" s="163">
        <v>8</v>
      </c>
      <c r="E35" s="135">
        <v>46205</v>
      </c>
      <c r="F35" s="164"/>
      <c r="G35" s="163">
        <v>2000</v>
      </c>
      <c r="H35" s="8"/>
      <c r="I35" s="165">
        <f>G35-Table257[[#This Row],[Fee Paid]]</f>
        <v>2000</v>
      </c>
      <c r="J35" s="145">
        <f>Table257[[#This Row],[Fee Paid]]/100*75</f>
        <v>0</v>
      </c>
      <c r="K35" s="167">
        <f t="shared" si="1"/>
        <v>600</v>
      </c>
      <c r="M35" s="132" t="s">
        <v>207</v>
      </c>
      <c r="N35" s="131"/>
      <c r="P35" s="128"/>
      <c r="Q35" s="128"/>
    </row>
    <row r="36" spans="1:21" x14ac:dyDescent="0.25">
      <c r="A36" s="156">
        <v>11</v>
      </c>
      <c r="B36" s="50" t="s">
        <v>295</v>
      </c>
      <c r="C36" s="8" t="s">
        <v>296</v>
      </c>
      <c r="D36" s="8">
        <v>8</v>
      </c>
      <c r="E36" s="135">
        <v>46206</v>
      </c>
      <c r="F36" s="129"/>
      <c r="G36" s="8">
        <v>1000</v>
      </c>
      <c r="H36" s="8">
        <v>1000</v>
      </c>
      <c r="I36" s="131">
        <f>G36-Table257[[#This Row],[Fee Paid]]</f>
        <v>0</v>
      </c>
      <c r="J36" s="145">
        <f>Table257[[#This Row],[Fee Paid]]/100*75</f>
        <v>750</v>
      </c>
      <c r="K36" s="162">
        <f t="shared" si="1"/>
        <v>300</v>
      </c>
      <c r="P36" s="128"/>
      <c r="Q36" s="128"/>
    </row>
    <row r="37" spans="1:21" x14ac:dyDescent="0.25">
      <c r="A37" s="156">
        <v>12</v>
      </c>
      <c r="B37" s="50" t="s">
        <v>294</v>
      </c>
      <c r="C37" s="163" t="s">
        <v>297</v>
      </c>
      <c r="D37" s="163">
        <v>8</v>
      </c>
      <c r="E37" s="135">
        <v>46207</v>
      </c>
      <c r="F37" s="164"/>
      <c r="G37" s="163">
        <v>0</v>
      </c>
      <c r="H37" s="8">
        <v>0</v>
      </c>
      <c r="I37" s="165">
        <f>G37-Table257[[#This Row],[Fee Paid]]</f>
        <v>0</v>
      </c>
      <c r="J37" s="145">
        <f>Table257[[#This Row],[Fee Paid]]/100*75</f>
        <v>0</v>
      </c>
      <c r="K37" s="167">
        <f t="shared" si="1"/>
        <v>0</v>
      </c>
      <c r="M37" s="142"/>
      <c r="P37" s="128"/>
      <c r="Q37" s="128"/>
    </row>
    <row r="38" spans="1:21" x14ac:dyDescent="0.25">
      <c r="A38" s="215">
        <v>13</v>
      </c>
      <c r="B38" s="15"/>
      <c r="C38" s="8"/>
      <c r="D38" s="8"/>
      <c r="E38" s="129"/>
      <c r="F38" s="129"/>
      <c r="G38" s="8"/>
      <c r="H38" s="8"/>
      <c r="I38" s="131">
        <f>G38-Table257[[#This Row],[Fee Paid]]</f>
        <v>0</v>
      </c>
      <c r="J38" s="145">
        <f>Table257[[#This Row],[Fee Paid]]/100*75</f>
        <v>0</v>
      </c>
      <c r="K38" s="162">
        <f t="shared" si="1"/>
        <v>0</v>
      </c>
      <c r="M38" s="142">
        <f>SUM(U38:U46)</f>
        <v>16950</v>
      </c>
      <c r="P38" s="128"/>
      <c r="Q38" s="128"/>
      <c r="U38" s="198">
        <v>3200</v>
      </c>
    </row>
    <row r="39" spans="1:21" x14ac:dyDescent="0.25">
      <c r="A39" s="150"/>
      <c r="B39" s="50"/>
      <c r="C39" s="8"/>
      <c r="D39" s="8"/>
      <c r="E39" s="129"/>
      <c r="F39" s="129"/>
      <c r="G39" s="8"/>
      <c r="H39" s="8"/>
      <c r="I39" s="131">
        <f>G39-Table257[[#This Row],[Fee Paid]]</f>
        <v>0</v>
      </c>
      <c r="J39" s="145">
        <f>Table257[[#This Row],[Fee Paid]]/100*75</f>
        <v>0</v>
      </c>
      <c r="K39" s="162">
        <f t="shared" si="1"/>
        <v>0</v>
      </c>
      <c r="P39" s="128"/>
      <c r="Q39" s="128"/>
      <c r="U39" s="8">
        <v>1500</v>
      </c>
    </row>
    <row r="40" spans="1:21" x14ac:dyDescent="0.25">
      <c r="A40" s="156"/>
      <c r="B40" s="50"/>
      <c r="C40" s="163"/>
      <c r="D40" s="163"/>
      <c r="E40" s="164"/>
      <c r="F40" s="164"/>
      <c r="G40" s="163"/>
      <c r="H40" s="163"/>
      <c r="I40" s="165">
        <f>G40-Table257[[#This Row],[Fee Paid]]</f>
        <v>0</v>
      </c>
      <c r="J40" s="145">
        <f>Table257[[#This Row],[Fee Paid]]/100*75</f>
        <v>0</v>
      </c>
      <c r="K40" s="167">
        <f t="shared" si="1"/>
        <v>0</v>
      </c>
      <c r="P40" s="128" t="s">
        <v>208</v>
      </c>
      <c r="Q40" s="128">
        <f>SUM(Q26:Q39)</f>
        <v>10000</v>
      </c>
      <c r="U40" s="198">
        <v>3000</v>
      </c>
    </row>
    <row r="41" spans="1:21" x14ac:dyDescent="0.25">
      <c r="U41" s="8">
        <v>3000</v>
      </c>
    </row>
    <row r="42" spans="1:21" x14ac:dyDescent="0.25">
      <c r="J42" s="216">
        <f>SUM(J27:J41)</f>
        <v>9675</v>
      </c>
      <c r="U42" s="198">
        <v>2000</v>
      </c>
    </row>
    <row r="43" spans="1:21" x14ac:dyDescent="0.25">
      <c r="U43" s="143">
        <v>0</v>
      </c>
    </row>
    <row r="44" spans="1:21" x14ac:dyDescent="0.25">
      <c r="U44" s="143">
        <v>2000</v>
      </c>
    </row>
    <row r="45" spans="1:21" x14ac:dyDescent="0.25">
      <c r="U45" s="199">
        <v>1250</v>
      </c>
    </row>
    <row r="46" spans="1:21" x14ac:dyDescent="0.25">
      <c r="U46" s="200">
        <v>1000</v>
      </c>
    </row>
    <row r="47" spans="1:21" x14ac:dyDescent="0.25">
      <c r="U47" s="199">
        <v>2000</v>
      </c>
    </row>
    <row r="48" spans="1:21" x14ac:dyDescent="0.25">
      <c r="U48" s="198">
        <v>1000</v>
      </c>
    </row>
    <row r="49" spans="9:21" x14ac:dyDescent="0.25">
      <c r="U49" s="199"/>
    </row>
    <row r="50" spans="9:21" x14ac:dyDescent="0.25">
      <c r="U50" s="198"/>
    </row>
    <row r="51" spans="9:21" x14ac:dyDescent="0.25">
      <c r="U51" s="8"/>
    </row>
    <row r="52" spans="9:21" x14ac:dyDescent="0.25">
      <c r="U52" s="198"/>
    </row>
    <row r="53" spans="9:21" x14ac:dyDescent="0.25">
      <c r="I53" t="s">
        <v>259</v>
      </c>
    </row>
    <row r="54" spans="9:21" x14ac:dyDescent="0.25">
      <c r="I54" s="177" t="s">
        <v>195</v>
      </c>
      <c r="J54" t="s">
        <v>345</v>
      </c>
    </row>
    <row r="55" spans="9:21" x14ac:dyDescent="0.25">
      <c r="L55" t="s">
        <v>258</v>
      </c>
    </row>
    <row r="56" spans="9:21" x14ac:dyDescent="0.25">
      <c r="I56" s="177" t="s">
        <v>261</v>
      </c>
      <c r="L56" s="177" t="s">
        <v>195</v>
      </c>
      <c r="M56" t="s">
        <v>260</v>
      </c>
    </row>
    <row r="57" spans="9:21" x14ac:dyDescent="0.25">
      <c r="I57" s="178" t="s">
        <v>236</v>
      </c>
    </row>
    <row r="58" spans="9:21" x14ac:dyDescent="0.25">
      <c r="I58" s="178" t="s">
        <v>225</v>
      </c>
      <c r="L58" s="177" t="s">
        <v>261</v>
      </c>
    </row>
    <row r="59" spans="9:21" x14ac:dyDescent="0.25">
      <c r="I59" s="178" t="s">
        <v>227</v>
      </c>
      <c r="L59" s="178" t="s">
        <v>255</v>
      </c>
    </row>
    <row r="60" spans="9:21" x14ac:dyDescent="0.25">
      <c r="I60" s="178" t="s">
        <v>30</v>
      </c>
      <c r="L60" s="178" t="s">
        <v>262</v>
      </c>
    </row>
    <row r="61" spans="9:21" x14ac:dyDescent="0.25">
      <c r="I61" s="178" t="s">
        <v>238</v>
      </c>
    </row>
    <row r="62" spans="9:21" x14ac:dyDescent="0.25">
      <c r="I62" s="178" t="s">
        <v>97</v>
      </c>
    </row>
    <row r="63" spans="9:21" x14ac:dyDescent="0.25">
      <c r="I63" s="178" t="s">
        <v>219</v>
      </c>
    </row>
    <row r="64" spans="9:21" x14ac:dyDescent="0.25">
      <c r="I64" s="178" t="s">
        <v>229</v>
      </c>
    </row>
    <row r="65" spans="9:9" x14ac:dyDescent="0.25">
      <c r="I65" s="178" t="s">
        <v>231</v>
      </c>
    </row>
    <row r="66" spans="9:9" x14ac:dyDescent="0.25">
      <c r="I66" s="178" t="s">
        <v>184</v>
      </c>
    </row>
    <row r="67" spans="9:9" x14ac:dyDescent="0.25">
      <c r="I67" s="178" t="s">
        <v>92</v>
      </c>
    </row>
    <row r="68" spans="9:9" x14ac:dyDescent="0.25">
      <c r="I68" s="178" t="s">
        <v>262</v>
      </c>
    </row>
  </sheetData>
  <mergeCells count="6">
    <mergeCell ref="M28:N28"/>
    <mergeCell ref="E1:I2"/>
    <mergeCell ref="M4:N4"/>
    <mergeCell ref="P4:Q4"/>
    <mergeCell ref="P25:Q25"/>
    <mergeCell ref="E23:I24"/>
  </mergeCells>
  <conditionalFormatting sqref="I5:I22 U14 I27:I40">
    <cfRule type="cellIs" dxfId="16" priority="2" operator="greaterThan">
      <formula>0</formula>
    </cfRule>
  </conditionalFormatting>
  <conditionalFormatting sqref="U7">
    <cfRule type="cellIs" dxfId="15" priority="3" operator="lessThan">
      <formula>500</formula>
    </cfRule>
  </conditionalFormatting>
  <pageMargins left="0.7" right="0.7" top="0.75" bottom="0.75" header="0.3" footer="0.3"/>
  <pageSetup paperSize="12" orientation="landscape" r:id="rId3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12BD-30D1-44BC-86C1-3FD2D21B00A6}">
  <dimension ref="A1:P66"/>
  <sheetViews>
    <sheetView topLeftCell="A20" zoomScaleNormal="100" workbookViewId="0">
      <selection activeCell="J46" sqref="J46"/>
    </sheetView>
  </sheetViews>
  <sheetFormatPr defaultRowHeight="15" x14ac:dyDescent="0.25"/>
  <cols>
    <col min="1" max="1" width="5.140625" bestFit="1" customWidth="1"/>
    <col min="2" max="2" width="16" bestFit="1" customWidth="1"/>
    <col min="3" max="3" width="13" customWidth="1"/>
    <col min="4" max="4" width="5.42578125" bestFit="1" customWidth="1"/>
    <col min="5" max="5" width="9.5703125" customWidth="1"/>
    <col min="6" max="6" width="9.140625" bestFit="1" customWidth="1"/>
    <col min="7" max="7" width="8.5703125" bestFit="1" customWidth="1"/>
    <col min="8" max="8" width="10.7109375" customWidth="1"/>
    <col min="9" max="9" width="13.140625" bestFit="1" customWidth="1"/>
    <col min="10" max="10" width="7.140625" style="142" bestFit="1" customWidth="1"/>
    <col min="12" max="12" width="19.28515625" bestFit="1" customWidth="1"/>
    <col min="13" max="13" width="14.28515625" customWidth="1"/>
    <col min="14" max="14" width="12.28515625" customWidth="1"/>
    <col min="15" max="15" width="8.140625" customWidth="1"/>
    <col min="16" max="16" width="10.28515625" customWidth="1"/>
    <col min="18" max="18" width="11.28515625" customWidth="1"/>
    <col min="19" max="19" width="10.7109375" customWidth="1"/>
    <col min="20" max="20" width="12.5703125" customWidth="1"/>
    <col min="21" max="21" width="21" customWidth="1"/>
    <col min="22" max="22" width="22.140625" customWidth="1"/>
  </cols>
  <sheetData>
    <row r="1" spans="1:16" ht="15" customHeight="1" x14ac:dyDescent="0.25">
      <c r="A1" s="142"/>
      <c r="C1" s="391" t="s">
        <v>217</v>
      </c>
      <c r="D1" s="391"/>
      <c r="E1" s="391"/>
      <c r="F1" s="391"/>
      <c r="G1" s="391"/>
      <c r="H1" s="391"/>
      <c r="I1" s="391"/>
    </row>
    <row r="2" spans="1:16" ht="15" customHeight="1" x14ac:dyDescent="0.25">
      <c r="A2" s="142"/>
      <c r="C2" s="391"/>
      <c r="D2" s="391"/>
      <c r="E2" s="391"/>
      <c r="F2" s="391"/>
      <c r="G2" s="391"/>
      <c r="H2" s="391"/>
      <c r="I2" s="391"/>
    </row>
    <row r="3" spans="1:16" x14ac:dyDescent="0.25">
      <c r="A3" s="142"/>
      <c r="I3" s="142"/>
    </row>
    <row r="4" spans="1:16" x14ac:dyDescent="0.25">
      <c r="A4" s="152" t="s">
        <v>1</v>
      </c>
      <c r="B4" s="153" t="s">
        <v>2</v>
      </c>
      <c r="C4" s="153" t="s">
        <v>194</v>
      </c>
      <c r="D4" s="153" t="s">
        <v>89</v>
      </c>
      <c r="E4" s="153" t="s">
        <v>4</v>
      </c>
      <c r="F4" s="153" t="s">
        <v>37</v>
      </c>
      <c r="G4" s="153" t="s">
        <v>195</v>
      </c>
      <c r="H4" s="153" t="s">
        <v>196</v>
      </c>
      <c r="I4" s="154" t="s">
        <v>309</v>
      </c>
      <c r="J4" s="179" t="s">
        <v>310</v>
      </c>
      <c r="L4" s="392" t="s">
        <v>311</v>
      </c>
      <c r="M4" s="392"/>
      <c r="O4" s="392" t="s">
        <v>200</v>
      </c>
      <c r="P4" s="392"/>
    </row>
    <row r="5" spans="1:16" x14ac:dyDescent="0.25">
      <c r="A5" s="218">
        <v>1</v>
      </c>
      <c r="B5" s="218" t="s">
        <v>302</v>
      </c>
      <c r="C5" s="218"/>
      <c r="D5" s="218">
        <v>10</v>
      </c>
      <c r="E5" s="218">
        <v>46235</v>
      </c>
      <c r="F5" s="218">
        <v>3200</v>
      </c>
      <c r="G5" s="107">
        <v>3200</v>
      </c>
      <c r="H5" s="136">
        <f>Table1468[[#This Row],[Total Fee]]-Table1468[[#This Row],[Fee Paid]]</f>
        <v>0</v>
      </c>
      <c r="I5" s="144">
        <f>G5/100*75</f>
        <v>2400</v>
      </c>
      <c r="J5" s="151">
        <f>Table1468[[#This Row],[Fee Paid]]/100*25</f>
        <v>800</v>
      </c>
      <c r="L5" s="132" t="s">
        <v>201</v>
      </c>
      <c r="M5" s="131">
        <f>SUM(F5:F20)</f>
        <v>21200</v>
      </c>
      <c r="N5" s="140"/>
      <c r="O5" s="186" t="s">
        <v>4</v>
      </c>
      <c r="P5" s="186" t="s">
        <v>312</v>
      </c>
    </row>
    <row r="6" spans="1:16" x14ac:dyDescent="0.25">
      <c r="A6" s="218">
        <v>2</v>
      </c>
      <c r="B6" s="218" t="s">
        <v>303</v>
      </c>
      <c r="C6" s="218"/>
      <c r="D6" s="218"/>
      <c r="E6" s="218">
        <v>46234</v>
      </c>
      <c r="F6" s="218">
        <v>2000</v>
      </c>
      <c r="G6" s="107">
        <v>2000</v>
      </c>
      <c r="H6" s="136">
        <f>Table1468[[#This Row],[Total Fee]]-Table1468[[#This Row],[Fee Paid]]</f>
        <v>0</v>
      </c>
      <c r="I6" s="144">
        <f t="shared" ref="I6:I15" si="0">G6/100*75</f>
        <v>1500</v>
      </c>
      <c r="J6" s="151">
        <f>Table1468[[#This Row],[Fee Paid]]/100*25</f>
        <v>500</v>
      </c>
      <c r="L6" s="132" t="s">
        <v>202</v>
      </c>
      <c r="M6" s="131">
        <f>SUM(G5:G20)</f>
        <v>20700</v>
      </c>
      <c r="N6" s="141"/>
      <c r="O6" s="130">
        <v>46255</v>
      </c>
      <c r="P6" s="128">
        <v>4000</v>
      </c>
    </row>
    <row r="7" spans="1:16" x14ac:dyDescent="0.25">
      <c r="A7" s="218">
        <v>3</v>
      </c>
      <c r="B7" s="218" t="s">
        <v>304</v>
      </c>
      <c r="C7" s="218"/>
      <c r="D7" s="218"/>
      <c r="E7" s="218">
        <v>46235</v>
      </c>
      <c r="F7" s="218">
        <v>2000</v>
      </c>
      <c r="G7" s="107">
        <v>2000</v>
      </c>
      <c r="H7" s="136">
        <f>Table1468[[#This Row],[Total Fee]]-Table1468[[#This Row],[Fee Paid]]</f>
        <v>0</v>
      </c>
      <c r="I7" s="144">
        <f t="shared" si="0"/>
        <v>1500</v>
      </c>
      <c r="J7" s="151">
        <f>Table1468[[#This Row],[Fee Paid]]/100*25</f>
        <v>500</v>
      </c>
      <c r="L7" s="132" t="s">
        <v>203</v>
      </c>
      <c r="M7" s="131">
        <f>SUM(Table1468[Teacher Share (75%)])</f>
        <v>15525</v>
      </c>
      <c r="N7" s="141"/>
      <c r="O7" s="130"/>
      <c r="P7" s="128"/>
    </row>
    <row r="8" spans="1:16" x14ac:dyDescent="0.25">
      <c r="A8" s="218">
        <v>4</v>
      </c>
      <c r="B8" s="218" t="s">
        <v>306</v>
      </c>
      <c r="C8" s="218"/>
      <c r="D8" s="218"/>
      <c r="E8" s="218">
        <v>46237</v>
      </c>
      <c r="F8" s="218">
        <v>2000</v>
      </c>
      <c r="G8" s="107">
        <v>2000</v>
      </c>
      <c r="H8" s="136">
        <f>Table1468[[#This Row],[Total Fee]]-Table1468[[#This Row],[Fee Paid]]</f>
        <v>0</v>
      </c>
      <c r="I8" s="145">
        <f t="shared" si="0"/>
        <v>1500</v>
      </c>
      <c r="J8" s="151">
        <f>Table1468[[#This Row],[Fee Paid]]/100*25</f>
        <v>500</v>
      </c>
      <c r="L8" s="132" t="s">
        <v>204</v>
      </c>
      <c r="M8" s="131">
        <f>SUM(Table1468[Academy Share (25%)])</f>
        <v>5175</v>
      </c>
      <c r="N8" s="141"/>
      <c r="O8" s="128"/>
      <c r="P8" s="128"/>
    </row>
    <row r="9" spans="1:16" x14ac:dyDescent="0.25">
      <c r="A9" s="218">
        <v>5</v>
      </c>
      <c r="B9" s="218" t="s">
        <v>307</v>
      </c>
      <c r="C9" s="218"/>
      <c r="D9" s="218"/>
      <c r="E9" s="218">
        <v>46241</v>
      </c>
      <c r="F9" s="218">
        <v>1000</v>
      </c>
      <c r="G9" s="107">
        <v>1000</v>
      </c>
      <c r="H9" s="136">
        <f>Table1468[[#This Row],[Total Fee]]-Table1468[[#This Row],[Fee Paid]]</f>
        <v>0</v>
      </c>
      <c r="I9" s="144">
        <f>G9/100*75</f>
        <v>750</v>
      </c>
      <c r="J9" s="151">
        <f>Table1468[[#This Row],[Fee Paid]]/100*25</f>
        <v>250</v>
      </c>
      <c r="L9" s="132" t="s">
        <v>205</v>
      </c>
      <c r="M9" s="131">
        <f>SUM(M7:M8)</f>
        <v>20700</v>
      </c>
      <c r="N9" s="141"/>
      <c r="O9" s="128"/>
      <c r="P9" s="128"/>
    </row>
    <row r="10" spans="1:16" ht="18.75" customHeight="1" thickBot="1" x14ac:dyDescent="0.3">
      <c r="A10" s="218">
        <v>6</v>
      </c>
      <c r="B10" s="218" t="s">
        <v>308</v>
      </c>
      <c r="C10" s="218"/>
      <c r="D10" s="218">
        <v>11</v>
      </c>
      <c r="E10" s="218">
        <v>46235</v>
      </c>
      <c r="F10" s="218">
        <v>1500</v>
      </c>
      <c r="G10" s="107">
        <v>1500</v>
      </c>
      <c r="H10" s="136">
        <f>Table1468[[#This Row],[Total Fee]]-Table1468[[#This Row],[Fee Paid]]</f>
        <v>0</v>
      </c>
      <c r="I10" s="144">
        <f t="shared" si="0"/>
        <v>1125</v>
      </c>
      <c r="J10" s="151">
        <f>Table1468[[#This Row],[Fee Paid]]/100*25</f>
        <v>375</v>
      </c>
      <c r="L10" s="132" t="s">
        <v>48</v>
      </c>
      <c r="M10" s="131">
        <v>13000</v>
      </c>
      <c r="N10" s="141"/>
      <c r="O10" s="168"/>
      <c r="P10" s="168"/>
    </row>
    <row r="11" spans="1:16" ht="15.75" thickBot="1" x14ac:dyDescent="0.3">
      <c r="A11" s="218">
        <v>7</v>
      </c>
      <c r="B11" s="218" t="s">
        <v>323</v>
      </c>
      <c r="C11" s="218" t="s">
        <v>54</v>
      </c>
      <c r="D11" s="218">
        <v>11</v>
      </c>
      <c r="E11" s="218"/>
      <c r="F11" s="218">
        <v>1500</v>
      </c>
      <c r="G11" s="107">
        <v>1500</v>
      </c>
      <c r="H11" s="136">
        <f>Table1468[[#This Row],[Total Fee]]-Table1468[[#This Row],[Fee Paid]]</f>
        <v>0</v>
      </c>
      <c r="I11" s="144">
        <f t="shared" si="0"/>
        <v>1125</v>
      </c>
      <c r="J11" s="151">
        <f>Table1468[[#This Row],[Fee Paid]]/100*25</f>
        <v>375</v>
      </c>
      <c r="L11" s="132" t="s">
        <v>207</v>
      </c>
      <c r="M11" s="131">
        <f>M7-M10</f>
        <v>2525</v>
      </c>
      <c r="N11" s="141"/>
      <c r="O11" s="169" t="s">
        <v>208</v>
      </c>
      <c r="P11" s="170">
        <f>SUM(P5:P10)</f>
        <v>4000</v>
      </c>
    </row>
    <row r="12" spans="1:16" ht="11.25" customHeight="1" x14ac:dyDescent="0.25">
      <c r="A12" s="218">
        <v>8</v>
      </c>
      <c r="B12" s="225" t="s">
        <v>324</v>
      </c>
      <c r="C12" s="218" t="s">
        <v>325</v>
      </c>
      <c r="D12" s="218">
        <v>11</v>
      </c>
      <c r="E12" s="218"/>
      <c r="F12" s="218">
        <v>1000</v>
      </c>
      <c r="G12" s="107">
        <v>1000</v>
      </c>
      <c r="H12" s="136">
        <f>Table1468[[#This Row],[Total Fee]]-Table1468[[#This Row],[Fee Paid]]</f>
        <v>0</v>
      </c>
      <c r="I12" s="144">
        <f t="shared" si="0"/>
        <v>750</v>
      </c>
      <c r="J12" s="151">
        <f>Table1468[[#This Row],[Fee Paid]]/100*25</f>
        <v>250</v>
      </c>
      <c r="N12" s="141"/>
    </row>
    <row r="13" spans="1:16" x14ac:dyDescent="0.25">
      <c r="A13" s="218">
        <v>9</v>
      </c>
      <c r="B13" s="218" t="s">
        <v>326</v>
      </c>
      <c r="C13" s="218" t="s">
        <v>325</v>
      </c>
      <c r="D13" s="218" t="s">
        <v>91</v>
      </c>
      <c r="E13" s="218"/>
      <c r="F13" s="218">
        <v>800</v>
      </c>
      <c r="G13" s="107">
        <v>800</v>
      </c>
      <c r="H13" s="136">
        <f>Table1468[[#This Row],[Total Fee]]-Table1468[[#This Row],[Fee Paid]]</f>
        <v>0</v>
      </c>
      <c r="I13" s="144">
        <f t="shared" si="0"/>
        <v>600</v>
      </c>
      <c r="J13" s="151">
        <f>Table1468[[#This Row],[Fee Paid]]/100*25</f>
        <v>200</v>
      </c>
    </row>
    <row r="14" spans="1:16" x14ac:dyDescent="0.25">
      <c r="A14" s="218">
        <v>10</v>
      </c>
      <c r="B14" s="226" t="s">
        <v>318</v>
      </c>
      <c r="C14" s="218" t="s">
        <v>325</v>
      </c>
      <c r="D14" s="218" t="s">
        <v>322</v>
      </c>
      <c r="E14" s="218"/>
      <c r="F14" s="218">
        <v>800</v>
      </c>
      <c r="G14" s="107">
        <v>800</v>
      </c>
      <c r="H14" s="136">
        <f>Table1468[[#This Row],[Total Fee]]-Table1468[[#This Row],[Fee Paid]]</f>
        <v>0</v>
      </c>
      <c r="I14" s="144">
        <f t="shared" si="0"/>
        <v>600</v>
      </c>
      <c r="J14" s="151">
        <f>Table1468[[#This Row],[Fee Paid]]/100*25</f>
        <v>200</v>
      </c>
    </row>
    <row r="15" spans="1:16" x14ac:dyDescent="0.25">
      <c r="A15" s="218">
        <v>11</v>
      </c>
      <c r="B15" s="226" t="s">
        <v>319</v>
      </c>
      <c r="C15" s="218" t="s">
        <v>325</v>
      </c>
      <c r="D15" s="218" t="s">
        <v>322</v>
      </c>
      <c r="E15" s="218"/>
      <c r="F15" s="218">
        <v>800</v>
      </c>
      <c r="G15" s="107">
        <v>800</v>
      </c>
      <c r="H15" s="136">
        <f>Table1468[[#This Row],[Total Fee]]-Table1468[[#This Row],[Fee Paid]]</f>
        <v>0</v>
      </c>
      <c r="I15" s="144">
        <f t="shared" si="0"/>
        <v>600</v>
      </c>
      <c r="J15" s="151">
        <f>Table1468[[#This Row],[Fee Paid]]/100*25</f>
        <v>200</v>
      </c>
      <c r="N15" s="141"/>
    </row>
    <row r="16" spans="1:16" x14ac:dyDescent="0.25">
      <c r="A16" s="218">
        <v>12</v>
      </c>
      <c r="B16" s="218" t="s">
        <v>317</v>
      </c>
      <c r="C16" s="218"/>
      <c r="D16" s="218"/>
      <c r="E16" s="218"/>
      <c r="F16" s="218">
        <v>500</v>
      </c>
      <c r="G16" s="107"/>
      <c r="H16" s="174">
        <f>Table1468[[#This Row],[Total Fee]]-Table1468[[#This Row],[Fee Paid]]</f>
        <v>500</v>
      </c>
      <c r="I16" s="160">
        <v>0</v>
      </c>
      <c r="J16" s="161">
        <f>Table1468[[#This Row],[Fee Paid]]/100*25</f>
        <v>0</v>
      </c>
      <c r="N16" s="141"/>
    </row>
    <row r="17" spans="1:16" x14ac:dyDescent="0.25">
      <c r="A17" s="218">
        <v>13</v>
      </c>
      <c r="B17" s="225" t="s">
        <v>316</v>
      </c>
      <c r="C17" s="218" t="s">
        <v>328</v>
      </c>
      <c r="D17" s="218"/>
      <c r="E17" s="218"/>
      <c r="F17" s="218">
        <v>500</v>
      </c>
      <c r="G17" s="107">
        <v>500</v>
      </c>
      <c r="H17" s="136">
        <f>Table1468[[#This Row],[Total Fee]]-Table1468[[#This Row],[Fee Paid]]</f>
        <v>0</v>
      </c>
      <c r="I17" s="144">
        <f t="shared" ref="I17:I19" si="1">G17/100*75</f>
        <v>375</v>
      </c>
      <c r="J17" s="151">
        <f>Table1468[[#This Row],[Fee Paid]]/100*25</f>
        <v>125</v>
      </c>
      <c r="N17" s="141"/>
    </row>
    <row r="18" spans="1:16" x14ac:dyDescent="0.25">
      <c r="A18" s="218">
        <v>14</v>
      </c>
      <c r="B18" s="218" t="s">
        <v>315</v>
      </c>
      <c r="C18" s="218"/>
      <c r="D18" s="218" t="s">
        <v>327</v>
      </c>
      <c r="E18" s="218"/>
      <c r="F18" s="218">
        <v>2100</v>
      </c>
      <c r="G18" s="107">
        <v>2100</v>
      </c>
      <c r="H18" s="136">
        <f>Table1468[[#This Row],[Total Fee]]-Table1468[[#This Row],[Fee Paid]]</f>
        <v>0</v>
      </c>
      <c r="I18" s="144">
        <f t="shared" si="1"/>
        <v>1575</v>
      </c>
      <c r="J18" s="151">
        <f>Table1468[[#This Row],[Fee Paid]]/100*25</f>
        <v>525</v>
      </c>
      <c r="N18" s="141"/>
    </row>
    <row r="19" spans="1:16" x14ac:dyDescent="0.25">
      <c r="A19" s="218">
        <v>15</v>
      </c>
      <c r="B19" s="218" t="s">
        <v>314</v>
      </c>
      <c r="C19" s="218"/>
      <c r="D19" s="218"/>
      <c r="E19" s="218"/>
      <c r="F19" s="218">
        <v>700</v>
      </c>
      <c r="G19" s="107">
        <v>700</v>
      </c>
      <c r="H19" s="174">
        <f>Table1468[[#This Row],[Total Fee]]-Table1468[[#This Row],[Fee Paid]]</f>
        <v>0</v>
      </c>
      <c r="I19" s="160">
        <f t="shared" si="1"/>
        <v>525</v>
      </c>
      <c r="J19" s="161">
        <f>Table1468[[#This Row],[Fee Paid]]/100*25</f>
        <v>175</v>
      </c>
      <c r="N19" s="141"/>
    </row>
    <row r="20" spans="1:16" x14ac:dyDescent="0.25">
      <c r="A20" s="218">
        <v>16</v>
      </c>
      <c r="B20" s="227" t="s">
        <v>313</v>
      </c>
      <c r="C20" s="222" t="s">
        <v>67</v>
      </c>
      <c r="D20" s="223"/>
      <c r="E20" s="224"/>
      <c r="F20" s="222">
        <v>800</v>
      </c>
      <c r="G20" s="173">
        <v>800</v>
      </c>
      <c r="H20" s="174">
        <f>Table1468[[#This Row],[Total Fee]]-Table1468[[#This Row],[Fee Paid]]</f>
        <v>0</v>
      </c>
      <c r="I20" s="160">
        <f>G20/100*75</f>
        <v>600</v>
      </c>
      <c r="J20" s="161">
        <f>Table1468[[#This Row],[Fee Paid]]/100*25</f>
        <v>200</v>
      </c>
      <c r="N20" s="141"/>
    </row>
    <row r="21" spans="1:16" ht="15.75" thickBot="1" x14ac:dyDescent="0.3">
      <c r="A21" s="234"/>
      <c r="B21" s="242"/>
      <c r="C21" s="234"/>
      <c r="D21" s="236"/>
      <c r="E21" s="237"/>
      <c r="F21" s="234"/>
      <c r="G21" s="239"/>
      <c r="H21" s="204"/>
      <c r="I21" s="205"/>
      <c r="J21" s="205"/>
      <c r="N21" s="141"/>
    </row>
    <row r="22" spans="1:16" ht="15" customHeight="1" x14ac:dyDescent="0.25">
      <c r="A22" s="142"/>
      <c r="C22" s="393" t="s">
        <v>240</v>
      </c>
      <c r="D22" s="394"/>
      <c r="E22" s="394"/>
      <c r="F22" s="394"/>
      <c r="G22" s="394"/>
      <c r="H22" s="394"/>
      <c r="I22" s="395"/>
      <c r="N22" s="141"/>
    </row>
    <row r="23" spans="1:16" ht="15" customHeight="1" thickBot="1" x14ac:dyDescent="0.3">
      <c r="A23" s="142"/>
      <c r="C23" s="396"/>
      <c r="D23" s="397"/>
      <c r="E23" s="397"/>
      <c r="F23" s="397"/>
      <c r="G23" s="397"/>
      <c r="H23" s="397"/>
      <c r="I23" s="398"/>
    </row>
    <row r="24" spans="1:16" x14ac:dyDescent="0.25">
      <c r="A24" s="142"/>
      <c r="I24" s="142"/>
      <c r="N24" s="141"/>
    </row>
    <row r="25" spans="1:16" x14ac:dyDescent="0.25">
      <c r="A25" s="152" t="s">
        <v>1</v>
      </c>
      <c r="B25" s="153" t="s">
        <v>2</v>
      </c>
      <c r="C25" s="153" t="s">
        <v>194</v>
      </c>
      <c r="D25" s="153" t="s">
        <v>89</v>
      </c>
      <c r="E25" s="153" t="s">
        <v>4</v>
      </c>
      <c r="F25" s="153" t="s">
        <v>37</v>
      </c>
      <c r="G25" s="153" t="s">
        <v>195</v>
      </c>
      <c r="H25" s="153" t="s">
        <v>196</v>
      </c>
      <c r="I25" s="154" t="s">
        <v>309</v>
      </c>
      <c r="J25" s="179" t="s">
        <v>310</v>
      </c>
      <c r="L25" s="392" t="s">
        <v>241</v>
      </c>
      <c r="M25" s="392"/>
      <c r="O25" s="392" t="s">
        <v>200</v>
      </c>
      <c r="P25" s="392"/>
    </row>
    <row r="26" spans="1:16" x14ac:dyDescent="0.25">
      <c r="A26" s="150">
        <v>1</v>
      </c>
      <c r="B26" s="218" t="s">
        <v>302</v>
      </c>
      <c r="C26" s="150"/>
      <c r="D26" s="150">
        <v>10</v>
      </c>
      <c r="E26" s="150">
        <v>46235</v>
      </c>
      <c r="F26" s="150">
        <v>3200</v>
      </c>
      <c r="G26" s="107">
        <v>3200</v>
      </c>
      <c r="H26" s="136">
        <f>Table2579[[#This Row],[Total Fee]]-Table2579[[#This Row],[Fee Paid]]</f>
        <v>0</v>
      </c>
      <c r="I26" s="144">
        <f>G26/100*75</f>
        <v>2400</v>
      </c>
      <c r="J26" s="151">
        <f>Table2579[[#This Row],[Fee Paid]]/100*25</f>
        <v>800</v>
      </c>
      <c r="L26" s="132" t="s">
        <v>201</v>
      </c>
      <c r="M26" s="131">
        <f>SUM(F26:F38)</f>
        <v>16300</v>
      </c>
      <c r="O26" s="186" t="s">
        <v>4</v>
      </c>
      <c r="P26" s="186" t="s">
        <v>312</v>
      </c>
    </row>
    <row r="27" spans="1:16" x14ac:dyDescent="0.25">
      <c r="A27" s="150">
        <v>3</v>
      </c>
      <c r="B27" s="218" t="s">
        <v>305</v>
      </c>
      <c r="C27" s="150"/>
      <c r="D27" s="150"/>
      <c r="E27" s="150">
        <v>46235</v>
      </c>
      <c r="F27" s="150">
        <v>2000</v>
      </c>
      <c r="G27" s="107">
        <v>2000</v>
      </c>
      <c r="H27" s="131">
        <f>Table2579[[#This Row],[Total Fee]]-Table2579[[#This Row],[Fee Paid]]</f>
        <v>0</v>
      </c>
      <c r="I27" s="145">
        <f t="shared" ref="I27:I32" si="2">G27/100*75</f>
        <v>1500</v>
      </c>
      <c r="J27" s="162">
        <f>Table2579[[#This Row],[Fee Paid]]/100*25</f>
        <v>500</v>
      </c>
      <c r="L27" s="132" t="s">
        <v>202</v>
      </c>
      <c r="M27" s="241">
        <f>SUM(G26:G38)</f>
        <v>16300</v>
      </c>
      <c r="O27" s="130">
        <v>46245</v>
      </c>
      <c r="P27" s="128">
        <v>2000</v>
      </c>
    </row>
    <row r="28" spans="1:16" x14ac:dyDescent="0.25">
      <c r="A28" s="150">
        <v>4</v>
      </c>
      <c r="B28" s="218" t="s">
        <v>306</v>
      </c>
      <c r="C28" s="150"/>
      <c r="D28" s="150"/>
      <c r="E28" s="150">
        <v>46237</v>
      </c>
      <c r="F28" s="150">
        <v>2000</v>
      </c>
      <c r="G28" s="107">
        <v>2000</v>
      </c>
      <c r="H28" s="131">
        <f>Table2579[[#This Row],[Total Fee]]-Table2579[[#This Row],[Fee Paid]]</f>
        <v>0</v>
      </c>
      <c r="I28" s="145">
        <f t="shared" si="2"/>
        <v>1500</v>
      </c>
      <c r="J28" s="162">
        <f>Table2579[[#This Row],[Fee Paid]]/100*25</f>
        <v>500</v>
      </c>
      <c r="L28" s="132" t="s">
        <v>203</v>
      </c>
      <c r="M28" s="241">
        <f>SUM(Table2579[Teacher Share (75%)])</f>
        <v>12225</v>
      </c>
      <c r="O28" s="130">
        <v>46262</v>
      </c>
      <c r="P28" s="128">
        <v>11500</v>
      </c>
    </row>
    <row r="29" spans="1:16" x14ac:dyDescent="0.25">
      <c r="A29" s="150">
        <v>5</v>
      </c>
      <c r="B29" s="218" t="s">
        <v>313</v>
      </c>
      <c r="C29" s="150" t="s">
        <v>23</v>
      </c>
      <c r="D29" s="150" t="s">
        <v>274</v>
      </c>
      <c r="E29" s="150"/>
      <c r="F29" s="150">
        <v>700</v>
      </c>
      <c r="G29" s="107">
        <v>700</v>
      </c>
      <c r="H29" s="131">
        <f>Table2579[[#This Row],[Total Fee]]-Table2579[[#This Row],[Fee Paid]]</f>
        <v>0</v>
      </c>
      <c r="I29" s="145">
        <f t="shared" si="2"/>
        <v>525</v>
      </c>
      <c r="J29" s="162">
        <f>Table2579[[#This Row],[Fee Paid]]/100*25</f>
        <v>175</v>
      </c>
      <c r="L29" s="132" t="s">
        <v>204</v>
      </c>
      <c r="M29" s="131">
        <f>SUM(Table2579[Academy Share (25%)])</f>
        <v>4075</v>
      </c>
      <c r="O29" s="130">
        <v>46267</v>
      </c>
      <c r="P29" s="128">
        <v>1550</v>
      </c>
    </row>
    <row r="30" spans="1:16" x14ac:dyDescent="0.25">
      <c r="A30" s="150">
        <v>6</v>
      </c>
      <c r="B30" s="218" t="s">
        <v>314</v>
      </c>
      <c r="C30" s="150">
        <v>3</v>
      </c>
      <c r="D30" s="150" t="s">
        <v>274</v>
      </c>
      <c r="E30" s="150"/>
      <c r="F30" s="150">
        <v>2100</v>
      </c>
      <c r="G30" s="107">
        <v>2100</v>
      </c>
      <c r="H30" s="131">
        <f>Table2579[[#This Row],[Total Fee]]-Table2579[[#This Row],[Fee Paid]]</f>
        <v>0</v>
      </c>
      <c r="I30" s="145">
        <f t="shared" si="2"/>
        <v>1575</v>
      </c>
      <c r="J30" s="162">
        <f>Table2579[[#This Row],[Fee Paid]]/100*25</f>
        <v>525</v>
      </c>
      <c r="L30" s="132" t="s">
        <v>48</v>
      </c>
      <c r="M30" s="131">
        <f>P32</f>
        <v>15050</v>
      </c>
      <c r="O30" s="128"/>
      <c r="P30" s="128"/>
    </row>
    <row r="31" spans="1:16" ht="15.75" thickBot="1" x14ac:dyDescent="0.3">
      <c r="A31" s="150">
        <v>7</v>
      </c>
      <c r="B31" s="218" t="s">
        <v>315</v>
      </c>
      <c r="C31" s="150">
        <v>3</v>
      </c>
      <c r="D31" s="150" t="s">
        <v>235</v>
      </c>
      <c r="E31" s="150"/>
      <c r="F31" s="150">
        <v>2100</v>
      </c>
      <c r="G31" s="107">
        <v>2100</v>
      </c>
      <c r="H31" s="131">
        <f>Table2579[[#This Row],[Total Fee]]-Table2579[[#This Row],[Fee Paid]]</f>
        <v>0</v>
      </c>
      <c r="I31" s="166">
        <f>G31/100*75</f>
        <v>1575</v>
      </c>
      <c r="J31" s="167">
        <f>Table2579[[#This Row],[Fee Paid]]/100*25</f>
        <v>525</v>
      </c>
      <c r="L31" s="132" t="s">
        <v>207</v>
      </c>
      <c r="M31" s="241">
        <f>M28-M30</f>
        <v>-2825</v>
      </c>
      <c r="O31" s="168"/>
      <c r="P31" s="168"/>
    </row>
    <row r="32" spans="1:16" ht="15.75" thickBot="1" x14ac:dyDescent="0.3">
      <c r="A32" s="150">
        <v>8</v>
      </c>
      <c r="B32" s="218" t="s">
        <v>316</v>
      </c>
      <c r="C32" s="150"/>
      <c r="D32" s="150"/>
      <c r="E32" s="150"/>
      <c r="F32" s="150">
        <v>500</v>
      </c>
      <c r="G32" s="107">
        <v>500</v>
      </c>
      <c r="H32" s="131">
        <f>Table2579[[#This Row],[Total Fee]]-Table2579[[#This Row],[Fee Paid]]</f>
        <v>0</v>
      </c>
      <c r="I32" s="166">
        <f t="shared" si="2"/>
        <v>375</v>
      </c>
      <c r="J32" s="167">
        <f>Table2579[[#This Row],[Fee Paid]]/100*25</f>
        <v>125</v>
      </c>
      <c r="O32" s="169" t="s">
        <v>208</v>
      </c>
      <c r="P32" s="170">
        <f>SUM(P26:P31)</f>
        <v>15050</v>
      </c>
    </row>
    <row r="33" spans="1:12" x14ac:dyDescent="0.25">
      <c r="A33" s="150">
        <v>9</v>
      </c>
      <c r="B33" s="218" t="s">
        <v>317</v>
      </c>
      <c r="C33" s="219"/>
      <c r="D33" s="219"/>
      <c r="E33" s="220"/>
      <c r="F33" s="219">
        <v>1000</v>
      </c>
      <c r="G33" s="107">
        <v>1000</v>
      </c>
      <c r="H33" s="131">
        <f>Table2579[[#This Row],[Total Fee]]-Table2579[[#This Row],[Fee Paid]]</f>
        <v>0</v>
      </c>
      <c r="I33" s="145">
        <f t="shared" ref="I33:I35" si="3">G33/100*75</f>
        <v>750</v>
      </c>
      <c r="J33" s="162">
        <f>Table2579[[#This Row],[Fee Paid]]/100*25</f>
        <v>250</v>
      </c>
      <c r="L33" s="142"/>
    </row>
    <row r="34" spans="1:12" x14ac:dyDescent="0.25">
      <c r="A34" s="150">
        <v>10</v>
      </c>
      <c r="B34" s="218" t="s">
        <v>318</v>
      </c>
      <c r="C34" s="219" t="s">
        <v>41</v>
      </c>
      <c r="D34" s="219" t="s">
        <v>322</v>
      </c>
      <c r="E34" s="220"/>
      <c r="F34" s="219">
        <v>400</v>
      </c>
      <c r="G34" s="107">
        <v>400</v>
      </c>
      <c r="H34" s="131">
        <f>Table2579[[#This Row],[Total Fee]]-Table2579[[#This Row],[Fee Paid]]</f>
        <v>0</v>
      </c>
      <c r="I34" s="145">
        <f t="shared" si="3"/>
        <v>300</v>
      </c>
      <c r="J34" s="162">
        <f>Table2579[[#This Row],[Fee Paid]]/100*25</f>
        <v>100</v>
      </c>
      <c r="L34" s="142"/>
    </row>
    <row r="35" spans="1:12" x14ac:dyDescent="0.25">
      <c r="A35" s="150">
        <v>11</v>
      </c>
      <c r="B35" s="218" t="s">
        <v>319</v>
      </c>
      <c r="C35" s="217" t="s">
        <v>41</v>
      </c>
      <c r="D35" s="217" t="s">
        <v>322</v>
      </c>
      <c r="E35" s="221"/>
      <c r="F35" s="217">
        <v>400</v>
      </c>
      <c r="G35" s="107">
        <v>400</v>
      </c>
      <c r="H35" s="165">
        <f>Table2579[[#This Row],[Total Fee]]-Table2579[[#This Row],[Fee Paid]]</f>
        <v>0</v>
      </c>
      <c r="I35" s="166">
        <f t="shared" si="3"/>
        <v>300</v>
      </c>
      <c r="J35" s="167">
        <f>Table2579[[#This Row],[Fee Paid]]/100*25</f>
        <v>100</v>
      </c>
    </row>
    <row r="36" spans="1:12" x14ac:dyDescent="0.25">
      <c r="A36" s="150">
        <v>12</v>
      </c>
      <c r="B36" s="218" t="s">
        <v>320</v>
      </c>
      <c r="C36" s="219" t="s">
        <v>321</v>
      </c>
      <c r="D36" s="219" t="s">
        <v>322</v>
      </c>
      <c r="E36" s="220"/>
      <c r="F36" s="219">
        <v>400</v>
      </c>
      <c r="G36" s="107">
        <v>400</v>
      </c>
      <c r="H36" s="131">
        <f>Table2579[[#This Row],[Total Fee]]-Table2579[[#This Row],[Fee Paid]]</f>
        <v>0</v>
      </c>
      <c r="I36" s="145">
        <f t="shared" ref="I36:I38" si="4">G36/100*75</f>
        <v>300</v>
      </c>
      <c r="J36" s="162">
        <f>Table2579[[#This Row],[Fee Paid]]/100*25</f>
        <v>100</v>
      </c>
    </row>
    <row r="37" spans="1:12" x14ac:dyDescent="0.25">
      <c r="A37" s="150">
        <v>13</v>
      </c>
      <c r="B37" s="218" t="s">
        <v>323</v>
      </c>
      <c r="C37" s="219"/>
      <c r="D37" s="219"/>
      <c r="E37" s="220"/>
      <c r="F37" s="219">
        <v>1500</v>
      </c>
      <c r="G37" s="107">
        <v>1500</v>
      </c>
      <c r="H37" s="131">
        <f>Table2579[[#This Row],[Total Fee]]-Table2579[[#This Row],[Fee Paid]]</f>
        <v>0</v>
      </c>
      <c r="I37" s="145">
        <f t="shared" si="4"/>
        <v>1125</v>
      </c>
      <c r="J37" s="162">
        <f>Table2579[[#This Row],[Fee Paid]]/100*25</f>
        <v>375</v>
      </c>
    </row>
    <row r="38" spans="1:12" x14ac:dyDescent="0.25">
      <c r="A38" s="150">
        <v>14</v>
      </c>
      <c r="B38" s="218"/>
      <c r="C38" s="217"/>
      <c r="D38" s="217"/>
      <c r="E38" s="221"/>
      <c r="F38" s="217"/>
      <c r="G38" s="163"/>
      <c r="H38" s="165">
        <f>Table2579[[#This Row],[Total Fee]]-Table2579[[#This Row],[Fee Paid]]</f>
        <v>0</v>
      </c>
      <c r="I38" s="166">
        <f t="shared" si="4"/>
        <v>0</v>
      </c>
      <c r="J38" s="167">
        <f>Table2579[[#This Row],[Fee Paid]]/100*25</f>
        <v>0</v>
      </c>
    </row>
    <row r="51" spans="9:13" x14ac:dyDescent="0.25">
      <c r="I51" t="s">
        <v>259</v>
      </c>
      <c r="L51" t="s">
        <v>258</v>
      </c>
    </row>
    <row r="52" spans="9:13" x14ac:dyDescent="0.25">
      <c r="I52" s="177" t="s">
        <v>195</v>
      </c>
      <c r="J52" t="s">
        <v>345</v>
      </c>
      <c r="L52" s="177" t="s">
        <v>195</v>
      </c>
      <c r="M52" t="s">
        <v>260</v>
      </c>
    </row>
    <row r="54" spans="9:13" x14ac:dyDescent="0.25">
      <c r="I54" s="177" t="s">
        <v>261</v>
      </c>
      <c r="L54" s="177" t="s">
        <v>261</v>
      </c>
    </row>
    <row r="55" spans="9:13" x14ac:dyDescent="0.25">
      <c r="I55" s="178" t="s">
        <v>236</v>
      </c>
      <c r="L55" s="178" t="s">
        <v>255</v>
      </c>
    </row>
    <row r="56" spans="9:13" x14ac:dyDescent="0.25">
      <c r="I56" s="178" t="s">
        <v>225</v>
      </c>
      <c r="L56" s="178" t="s">
        <v>262</v>
      </c>
    </row>
    <row r="57" spans="9:13" x14ac:dyDescent="0.25">
      <c r="I57" s="178" t="s">
        <v>227</v>
      </c>
    </row>
    <row r="58" spans="9:13" x14ac:dyDescent="0.25">
      <c r="I58" s="178" t="s">
        <v>30</v>
      </c>
    </row>
    <row r="59" spans="9:13" x14ac:dyDescent="0.25">
      <c r="I59" s="178" t="s">
        <v>238</v>
      </c>
    </row>
    <row r="60" spans="9:13" x14ac:dyDescent="0.25">
      <c r="I60" s="178" t="s">
        <v>97</v>
      </c>
    </row>
    <row r="61" spans="9:13" x14ac:dyDescent="0.25">
      <c r="I61" s="178" t="s">
        <v>219</v>
      </c>
    </row>
    <row r="62" spans="9:13" x14ac:dyDescent="0.25">
      <c r="I62" s="178" t="s">
        <v>229</v>
      </c>
    </row>
    <row r="63" spans="9:13" x14ac:dyDescent="0.25">
      <c r="I63" s="178" t="s">
        <v>231</v>
      </c>
    </row>
    <row r="64" spans="9:13" x14ac:dyDescent="0.25">
      <c r="I64" s="178" t="s">
        <v>184</v>
      </c>
    </row>
    <row r="65" spans="9:9" x14ac:dyDescent="0.25">
      <c r="I65" s="178" t="s">
        <v>92</v>
      </c>
    </row>
    <row r="66" spans="9:9" x14ac:dyDescent="0.25">
      <c r="I66" s="178" t="s">
        <v>262</v>
      </c>
    </row>
  </sheetData>
  <mergeCells count="6">
    <mergeCell ref="C1:I2"/>
    <mergeCell ref="C22:I23"/>
    <mergeCell ref="L25:M25"/>
    <mergeCell ref="L4:M4"/>
    <mergeCell ref="O4:P4"/>
    <mergeCell ref="O25:P25"/>
  </mergeCells>
  <conditionalFormatting sqref="G6">
    <cfRule type="cellIs" dxfId="14" priority="12" operator="lessThan">
      <formula>500</formula>
    </cfRule>
  </conditionalFormatting>
  <conditionalFormatting sqref="G26:G37">
    <cfRule type="cellIs" dxfId="13" priority="5" operator="equal">
      <formula>0</formula>
    </cfRule>
    <cfRule type="expression" dxfId="12" priority="6">
      <formula>$F$26&gt;=$G$26</formula>
    </cfRule>
    <cfRule type="expression" priority="7">
      <formula>$F$26=$G$26</formula>
    </cfRule>
  </conditionalFormatting>
  <conditionalFormatting sqref="G26:G38">
    <cfRule type="expression" dxfId="11" priority="3">
      <formula>$F$26&gt;=$G$26</formula>
    </cfRule>
  </conditionalFormatting>
  <conditionalFormatting sqref="H5:H21 H26:H38">
    <cfRule type="cellIs" dxfId="10" priority="8" operator="greaterThan">
      <formula>0</formula>
    </cfRule>
  </conditionalFormatting>
  <conditionalFormatting sqref="H26:H38">
    <cfRule type="cellIs" dxfId="9" priority="4" operator="equal">
      <formula>0</formula>
    </cfRule>
  </conditionalFormatting>
  <conditionalFormatting sqref="M31">
    <cfRule type="containsText" dxfId="8" priority="1" operator="containsText" text="2825">
      <formula>NOT(ISERROR(SEARCH("2825",M31)))</formula>
    </cfRule>
    <cfRule type="containsText" dxfId="7" priority="2" operator="containsText" text="1275">
      <formula>NOT(ISERROR(SEARCH("1275",M31)))</formula>
    </cfRule>
  </conditionalFormatting>
  <pageMargins left="0.23622047244094491" right="0.23622047244094491" top="0" bottom="0.74803149606299213" header="0" footer="0.31496062992125984"/>
  <pageSetup orientation="landscape" r:id="rId3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77A6-B851-4729-A67B-3A926D82A25C}">
  <dimension ref="A1:P59"/>
  <sheetViews>
    <sheetView zoomScale="70" zoomScaleNormal="70" workbookViewId="0">
      <selection activeCell="N36" sqref="N36"/>
    </sheetView>
  </sheetViews>
  <sheetFormatPr defaultRowHeight="15" x14ac:dyDescent="0.25"/>
  <cols>
    <col min="1" max="1" width="5.140625" bestFit="1" customWidth="1"/>
    <col min="2" max="2" width="17" customWidth="1"/>
    <col min="3" max="3" width="10.28515625" bestFit="1" customWidth="1"/>
    <col min="4" max="4" width="5.42578125" bestFit="1" customWidth="1"/>
    <col min="5" max="5" width="7.42578125" bestFit="1" customWidth="1"/>
    <col min="6" max="6" width="15.42578125" customWidth="1"/>
    <col min="7" max="7" width="8.5703125" bestFit="1" customWidth="1"/>
    <col min="8" max="8" width="10.42578125" bestFit="1" customWidth="1"/>
    <col min="9" max="9" width="17.85546875" bestFit="1" customWidth="1"/>
    <col min="10" max="10" width="8.140625" style="142" bestFit="1" customWidth="1"/>
    <col min="12" max="12" width="19.28515625" bestFit="1" customWidth="1"/>
    <col min="13" max="13" width="9.5703125" bestFit="1" customWidth="1"/>
    <col min="14" max="14" width="12.28515625" customWidth="1"/>
    <col min="15" max="15" width="9.28515625" bestFit="1" customWidth="1"/>
    <col min="16" max="16" width="18.5703125" bestFit="1" customWidth="1"/>
    <col min="18" max="18" width="11.28515625" customWidth="1"/>
    <col min="19" max="19" width="10.7109375" customWidth="1"/>
    <col min="20" max="20" width="12.5703125" customWidth="1"/>
    <col min="21" max="21" width="21" customWidth="1"/>
    <col min="22" max="22" width="22.140625" customWidth="1"/>
  </cols>
  <sheetData>
    <row r="1" spans="1:16" ht="15.75" thickBot="1" x14ac:dyDescent="0.3"/>
    <row r="2" spans="1:16" ht="15" customHeight="1" x14ac:dyDescent="0.25">
      <c r="A2" s="142"/>
      <c r="C2" s="393" t="s">
        <v>341</v>
      </c>
      <c r="D2" s="394"/>
      <c r="E2" s="394"/>
      <c r="F2" s="394"/>
      <c r="G2" s="394"/>
      <c r="H2" s="394"/>
      <c r="I2" s="395"/>
    </row>
    <row r="3" spans="1:16" ht="15" customHeight="1" thickBot="1" x14ac:dyDescent="0.3">
      <c r="A3" s="142"/>
      <c r="C3" s="396"/>
      <c r="D3" s="397"/>
      <c r="E3" s="397"/>
      <c r="F3" s="397"/>
      <c r="G3" s="397"/>
      <c r="H3" s="397"/>
      <c r="I3" s="398"/>
    </row>
    <row r="4" spans="1:16" ht="6.75" customHeight="1" x14ac:dyDescent="0.25">
      <c r="A4" s="142"/>
      <c r="I4" s="142"/>
    </row>
    <row r="5" spans="1:16" ht="19.5" customHeight="1" x14ac:dyDescent="0.25">
      <c r="A5" s="152" t="s">
        <v>1</v>
      </c>
      <c r="B5" s="153" t="s">
        <v>2</v>
      </c>
      <c r="C5" s="153" t="s">
        <v>194</v>
      </c>
      <c r="D5" s="153" t="s">
        <v>89</v>
      </c>
      <c r="E5" s="153" t="s">
        <v>4</v>
      </c>
      <c r="F5" s="153" t="s">
        <v>37</v>
      </c>
      <c r="G5" s="153" t="s">
        <v>195</v>
      </c>
      <c r="H5" s="153" t="s">
        <v>196</v>
      </c>
      <c r="I5" s="154" t="s">
        <v>309</v>
      </c>
      <c r="J5" s="179" t="s">
        <v>310</v>
      </c>
      <c r="L5" s="392" t="s">
        <v>311</v>
      </c>
      <c r="M5" s="392"/>
      <c r="O5" s="392" t="s">
        <v>200</v>
      </c>
      <c r="P5" s="392"/>
    </row>
    <row r="6" spans="1:16" x14ac:dyDescent="0.25">
      <c r="A6" s="218">
        <v>1</v>
      </c>
      <c r="B6" s="218" t="s">
        <v>302</v>
      </c>
      <c r="C6" s="218"/>
      <c r="D6" s="218">
        <v>10</v>
      </c>
      <c r="E6" s="218"/>
      <c r="F6" s="218">
        <v>3200</v>
      </c>
      <c r="G6" s="107">
        <v>3200</v>
      </c>
      <c r="H6" s="136">
        <f>Table146810[[#This Row],[Total Fee]]-Table146810[[#This Row],[Fee Paid]]</f>
        <v>0</v>
      </c>
      <c r="I6" s="144">
        <f>G6/100*75</f>
        <v>2400</v>
      </c>
      <c r="J6" s="151">
        <f>Table146810[[#This Row],[Fee Paid]]/100*25</f>
        <v>800</v>
      </c>
      <c r="L6" s="132" t="s">
        <v>201</v>
      </c>
      <c r="M6" s="131">
        <f>SUM(F6:F20)</f>
        <v>21750</v>
      </c>
      <c r="N6" s="140"/>
      <c r="O6" s="186" t="s">
        <v>4</v>
      </c>
      <c r="P6" s="186" t="s">
        <v>312</v>
      </c>
    </row>
    <row r="7" spans="1:16" x14ac:dyDescent="0.25">
      <c r="A7" s="218">
        <v>2</v>
      </c>
      <c r="B7" s="218" t="s">
        <v>303</v>
      </c>
      <c r="C7" s="218"/>
      <c r="D7" s="218"/>
      <c r="E7" s="218"/>
      <c r="F7" s="218">
        <v>1000</v>
      </c>
      <c r="G7" s="107">
        <v>1000</v>
      </c>
      <c r="H7" s="136">
        <f>Table146810[[#This Row],[Total Fee]]-Table146810[[#This Row],[Fee Paid]]</f>
        <v>0</v>
      </c>
      <c r="I7" s="144">
        <f t="shared" ref="I7:I12" si="0">G7/100*75</f>
        <v>750</v>
      </c>
      <c r="J7" s="151">
        <f>Table146810[[#This Row],[Fee Paid]]/100*25</f>
        <v>250</v>
      </c>
      <c r="L7" s="132" t="s">
        <v>202</v>
      </c>
      <c r="M7" s="131">
        <f>SUM(G6:G20)</f>
        <v>23775</v>
      </c>
      <c r="N7" s="141"/>
      <c r="O7" s="130">
        <v>46294</v>
      </c>
      <c r="P7" s="233">
        <v>18500</v>
      </c>
    </row>
    <row r="8" spans="1:16" x14ac:dyDescent="0.25">
      <c r="A8" s="218">
        <v>3</v>
      </c>
      <c r="B8" s="218" t="s">
        <v>304</v>
      </c>
      <c r="C8" s="218"/>
      <c r="D8" s="218"/>
      <c r="E8" s="218"/>
      <c r="F8" s="218">
        <v>2000</v>
      </c>
      <c r="G8" s="107">
        <v>2000</v>
      </c>
      <c r="H8" s="136">
        <f>Table146810[[#This Row],[Total Fee]]-Table146810[[#This Row],[Fee Paid]]</f>
        <v>0</v>
      </c>
      <c r="I8" s="144">
        <f t="shared" si="0"/>
        <v>1500</v>
      </c>
      <c r="J8" s="151">
        <f>Table146810[[#This Row],[Fee Paid]]/100*25</f>
        <v>500</v>
      </c>
      <c r="L8" s="132" t="s">
        <v>203</v>
      </c>
      <c r="M8" s="131">
        <f>SUM(Table146810[Teacher Share (75%)])</f>
        <v>18462.5</v>
      </c>
      <c r="N8" s="141"/>
      <c r="O8" s="130"/>
      <c r="P8" s="233">
        <v>0</v>
      </c>
    </row>
    <row r="9" spans="1:16" x14ac:dyDescent="0.25">
      <c r="A9" s="218">
        <v>4</v>
      </c>
      <c r="B9" s="218" t="s">
        <v>306</v>
      </c>
      <c r="C9" s="218"/>
      <c r="D9" s="218"/>
      <c r="E9" s="218"/>
      <c r="F9" s="218">
        <v>2000</v>
      </c>
      <c r="G9" s="107">
        <v>2000</v>
      </c>
      <c r="H9" s="136">
        <f>Table146810[[#This Row],[Total Fee]]-Table146810[[#This Row],[Fee Paid]]</f>
        <v>0</v>
      </c>
      <c r="I9" s="145">
        <f t="shared" si="0"/>
        <v>1500</v>
      </c>
      <c r="J9" s="151">
        <f>Table146810[[#This Row],[Fee Paid]]/100*25</f>
        <v>500</v>
      </c>
      <c r="L9" s="132" t="s">
        <v>204</v>
      </c>
      <c r="M9" s="131">
        <f>SUM(Table146810[Academy Share (25%)])</f>
        <v>5312.5</v>
      </c>
      <c r="N9" s="141"/>
      <c r="O9" s="128"/>
      <c r="P9" s="233">
        <v>0</v>
      </c>
    </row>
    <row r="10" spans="1:16" x14ac:dyDescent="0.25">
      <c r="A10" s="218">
        <v>5</v>
      </c>
      <c r="B10" s="218" t="s">
        <v>308</v>
      </c>
      <c r="C10" s="218"/>
      <c r="D10" s="218">
        <v>11</v>
      </c>
      <c r="E10" s="218"/>
      <c r="F10" s="218">
        <v>1500</v>
      </c>
      <c r="G10" s="107">
        <v>1500</v>
      </c>
      <c r="H10" s="136">
        <f>Table146810[[#This Row],[Total Fee]]-Table146810[[#This Row],[Fee Paid]]</f>
        <v>0</v>
      </c>
      <c r="I10" s="144">
        <f t="shared" si="0"/>
        <v>1125</v>
      </c>
      <c r="J10" s="151">
        <f>Table146810[[#This Row],[Fee Paid]]/100*25</f>
        <v>375</v>
      </c>
      <c r="L10" s="132" t="s">
        <v>205</v>
      </c>
      <c r="M10" s="131">
        <f>SUM(M8:M9)</f>
        <v>23775</v>
      </c>
      <c r="N10" s="141"/>
      <c r="O10" s="128"/>
      <c r="P10" s="233">
        <v>0</v>
      </c>
    </row>
    <row r="11" spans="1:16" ht="15.75" thickBot="1" x14ac:dyDescent="0.3">
      <c r="A11" s="218">
        <v>7</v>
      </c>
      <c r="B11" s="218" t="s">
        <v>326</v>
      </c>
      <c r="C11" s="218" t="s">
        <v>325</v>
      </c>
      <c r="D11" s="218" t="s">
        <v>91</v>
      </c>
      <c r="E11" s="218"/>
      <c r="F11" s="218">
        <v>2000</v>
      </c>
      <c r="G11" s="107">
        <v>2000</v>
      </c>
      <c r="H11" s="136">
        <f>Table146810[[#This Row],[Total Fee]]-Table146810[[#This Row],[Fee Paid]]</f>
        <v>0</v>
      </c>
      <c r="I11" s="144">
        <f t="shared" si="0"/>
        <v>1500</v>
      </c>
      <c r="J11" s="151">
        <f>Table146810[[#This Row],[Fee Paid]]/100*25</f>
        <v>500</v>
      </c>
      <c r="L11" s="132" t="s">
        <v>48</v>
      </c>
      <c r="M11" s="131">
        <f>P12</f>
        <v>18500</v>
      </c>
      <c r="N11" s="141"/>
      <c r="O11" s="168"/>
      <c r="P11" s="233">
        <v>0</v>
      </c>
    </row>
    <row r="12" spans="1:16" ht="15.75" thickBot="1" x14ac:dyDescent="0.3">
      <c r="A12" s="218">
        <v>9</v>
      </c>
      <c r="B12" s="226" t="s">
        <v>319</v>
      </c>
      <c r="C12" s="218" t="s">
        <v>325</v>
      </c>
      <c r="D12" s="218" t="s">
        <v>322</v>
      </c>
      <c r="E12" s="218"/>
      <c r="F12" s="218">
        <v>2000</v>
      </c>
      <c r="G12" s="107">
        <v>2000</v>
      </c>
      <c r="H12" s="136">
        <f>Table146810[[#This Row],[Total Fee]]-Table146810[[#This Row],[Fee Paid]]</f>
        <v>0</v>
      </c>
      <c r="I12" s="144">
        <f t="shared" si="0"/>
        <v>1500</v>
      </c>
      <c r="J12" s="151">
        <f>Table146810[[#This Row],[Fee Paid]]/100*25</f>
        <v>500</v>
      </c>
      <c r="L12" s="132" t="s">
        <v>207</v>
      </c>
      <c r="M12" s="131">
        <f>M8-M11</f>
        <v>-37.5</v>
      </c>
      <c r="N12" s="141"/>
      <c r="O12" s="169" t="s">
        <v>208</v>
      </c>
      <c r="P12" s="243">
        <f>SUM(P6:P11)</f>
        <v>18500</v>
      </c>
    </row>
    <row r="13" spans="1:16" ht="11.25" customHeight="1" x14ac:dyDescent="0.25">
      <c r="A13" s="218">
        <v>10</v>
      </c>
      <c r="B13" s="218" t="s">
        <v>317</v>
      </c>
      <c r="C13" s="218">
        <v>1</v>
      </c>
      <c r="D13" s="218"/>
      <c r="E13" s="218"/>
      <c r="F13" s="218">
        <v>500</v>
      </c>
      <c r="G13" s="107">
        <v>0</v>
      </c>
      <c r="H13" s="174">
        <f>Table146810[[#This Row],[Total Fee]]-Table146810[[#This Row],[Fee Paid]]</f>
        <v>500</v>
      </c>
      <c r="I13" s="160">
        <v>0</v>
      </c>
      <c r="J13" s="161">
        <f>Table146810[[#This Row],[Fee Paid]]/100*25</f>
        <v>0</v>
      </c>
      <c r="N13" s="141"/>
    </row>
    <row r="14" spans="1:16" x14ac:dyDescent="0.25">
      <c r="A14" s="218">
        <v>11</v>
      </c>
      <c r="B14" s="218" t="s">
        <v>315</v>
      </c>
      <c r="C14" s="218"/>
      <c r="D14" s="218" t="s">
        <v>327</v>
      </c>
      <c r="E14" s="218"/>
      <c r="F14" s="218">
        <v>2100</v>
      </c>
      <c r="G14" s="107">
        <v>2100</v>
      </c>
      <c r="H14" s="136">
        <f>Table146810[[#This Row],[Total Fee]]-Table146810[[#This Row],[Fee Paid]]</f>
        <v>0</v>
      </c>
      <c r="I14" s="144">
        <f t="shared" ref="I14:I15" si="1">G14/100*75</f>
        <v>1575</v>
      </c>
      <c r="J14" s="151">
        <f>Table146810[[#This Row],[Fee Paid]]/100*25</f>
        <v>525</v>
      </c>
      <c r="L14" s="240"/>
    </row>
    <row r="15" spans="1:16" x14ac:dyDescent="0.25">
      <c r="A15" s="218">
        <v>12</v>
      </c>
      <c r="B15" s="218" t="s">
        <v>314</v>
      </c>
      <c r="C15" s="218"/>
      <c r="D15" s="218"/>
      <c r="E15" s="218"/>
      <c r="F15" s="218">
        <v>700</v>
      </c>
      <c r="G15" s="107">
        <v>700</v>
      </c>
      <c r="H15" s="174">
        <f>Table146810[[#This Row],[Total Fee]]-Table146810[[#This Row],[Fee Paid]]</f>
        <v>0</v>
      </c>
      <c r="I15" s="144">
        <f t="shared" si="1"/>
        <v>525</v>
      </c>
      <c r="J15" s="161">
        <f>Table146810[[#This Row],[Fee Paid]]/100*25</f>
        <v>175</v>
      </c>
      <c r="L15" s="240"/>
    </row>
    <row r="16" spans="1:16" x14ac:dyDescent="0.25">
      <c r="A16" s="218">
        <v>13</v>
      </c>
      <c r="B16" s="228" t="s">
        <v>330</v>
      </c>
      <c r="C16" s="218" t="s">
        <v>63</v>
      </c>
      <c r="D16" s="229">
        <v>11</v>
      </c>
      <c r="E16" s="230"/>
      <c r="F16" s="218">
        <v>1500</v>
      </c>
      <c r="G16" s="107">
        <v>1500</v>
      </c>
      <c r="H16" s="136">
        <f>Table146810[[#This Row],[Total Fee]]-Table146810[[#This Row],[Fee Paid]]</f>
        <v>0</v>
      </c>
      <c r="I16" s="144">
        <f>G16/100*75</f>
        <v>1125</v>
      </c>
      <c r="J16" s="151">
        <f>Table146810[[#This Row],[Fee Paid]]/100*25</f>
        <v>375</v>
      </c>
      <c r="N16" s="141"/>
    </row>
    <row r="17" spans="1:16" x14ac:dyDescent="0.25">
      <c r="A17" s="218">
        <v>14</v>
      </c>
      <c r="B17" s="232" t="s">
        <v>334</v>
      </c>
      <c r="C17" s="222" t="s">
        <v>333</v>
      </c>
      <c r="D17" s="223"/>
      <c r="E17" s="224"/>
      <c r="F17" s="222">
        <v>1250</v>
      </c>
      <c r="G17" s="173">
        <v>1250</v>
      </c>
      <c r="H17" s="174">
        <f>Table146810[[#This Row],[Total Fee]]-Table146810[[#This Row],[Fee Paid]]</f>
        <v>0</v>
      </c>
      <c r="I17" s="160">
        <f>G17/100*75</f>
        <v>937.5</v>
      </c>
      <c r="J17" s="161">
        <f>Table146810[[#This Row],[Fee Paid]]/100*25</f>
        <v>312.5</v>
      </c>
      <c r="N17" s="141"/>
    </row>
    <row r="18" spans="1:16" x14ac:dyDescent="0.25">
      <c r="A18" s="218">
        <v>15</v>
      </c>
      <c r="B18" s="228" t="s">
        <v>337</v>
      </c>
      <c r="C18" s="222" t="s">
        <v>117</v>
      </c>
      <c r="D18" s="223"/>
      <c r="E18" s="224"/>
      <c r="F18" s="222">
        <v>1000</v>
      </c>
      <c r="G18" s="173">
        <v>1000</v>
      </c>
      <c r="H18" s="174">
        <f>Table146810[[#This Row],[Total Fee]]-Table146810[[#This Row],[Fee Paid]]</f>
        <v>0</v>
      </c>
      <c r="I18" s="160">
        <f>G18/100*75</f>
        <v>750</v>
      </c>
      <c r="J18" s="151">
        <f>Table146810[[#This Row],[Fee Paid]]/100*25</f>
        <v>250</v>
      </c>
      <c r="N18" s="141"/>
    </row>
    <row r="19" spans="1:16" x14ac:dyDescent="0.25">
      <c r="A19" s="218">
        <v>15</v>
      </c>
      <c r="B19" s="228" t="s">
        <v>338</v>
      </c>
      <c r="C19" s="218" t="s">
        <v>339</v>
      </c>
      <c r="D19" s="229">
        <v>10</v>
      </c>
      <c r="E19" s="230"/>
      <c r="F19" s="218">
        <v>1000</v>
      </c>
      <c r="G19" s="107">
        <v>1000</v>
      </c>
      <c r="H19" s="136">
        <f>Table146810[[#This Row],[Total Fee]]-Table146810[[#This Row],[Fee Paid]]</f>
        <v>0</v>
      </c>
      <c r="I19" s="144">
        <f>G19/100*75</f>
        <v>750</v>
      </c>
      <c r="J19" s="151">
        <f>Table146810[[#This Row],[Fee Paid]]/100*25</f>
        <v>250</v>
      </c>
      <c r="N19" s="141"/>
    </row>
    <row r="20" spans="1:16" x14ac:dyDescent="0.25">
      <c r="A20" s="218">
        <v>15</v>
      </c>
      <c r="B20" s="228" t="s">
        <v>340</v>
      </c>
      <c r="C20" s="218"/>
      <c r="D20" s="229"/>
      <c r="E20" s="230"/>
      <c r="F20" s="218"/>
      <c r="G20" s="107">
        <v>2525</v>
      </c>
      <c r="H20" s="136"/>
      <c r="I20" s="144">
        <v>2525</v>
      </c>
      <c r="J20" s="151">
        <v>0</v>
      </c>
      <c r="N20" s="141"/>
    </row>
    <row r="21" spans="1:16" x14ac:dyDescent="0.25">
      <c r="A21" s="234"/>
      <c r="B21" s="235"/>
      <c r="C21" s="234"/>
      <c r="D21" s="236"/>
      <c r="E21" s="237"/>
      <c r="F21" s="234"/>
      <c r="G21" s="208"/>
      <c r="H21" s="204"/>
      <c r="I21" s="205"/>
      <c r="J21" s="205"/>
      <c r="N21" s="141"/>
    </row>
    <row r="22" spans="1:16" ht="6" customHeight="1" thickBot="1" x14ac:dyDescent="0.3">
      <c r="A22" s="234"/>
      <c r="B22" s="235"/>
      <c r="C22" s="234"/>
      <c r="D22" s="236"/>
      <c r="E22" s="237"/>
      <c r="F22" s="234"/>
      <c r="G22" s="234"/>
      <c r="H22" s="204"/>
      <c r="I22" s="205"/>
      <c r="J22" s="205"/>
      <c r="N22" s="141"/>
    </row>
    <row r="23" spans="1:16" x14ac:dyDescent="0.25">
      <c r="A23" s="142"/>
      <c r="C23" s="393" t="s">
        <v>331</v>
      </c>
      <c r="D23" s="394"/>
      <c r="E23" s="394"/>
      <c r="F23" s="394"/>
      <c r="G23" s="394"/>
      <c r="H23" s="394"/>
      <c r="I23" s="395"/>
      <c r="N23" s="141"/>
    </row>
    <row r="24" spans="1:16" ht="15.75" thickBot="1" x14ac:dyDescent="0.3">
      <c r="A24" s="142"/>
      <c r="C24" s="396"/>
      <c r="D24" s="397"/>
      <c r="E24" s="397"/>
      <c r="F24" s="397"/>
      <c r="G24" s="397"/>
      <c r="H24" s="397"/>
      <c r="I24" s="398"/>
    </row>
    <row r="25" spans="1:16" ht="17.25" customHeight="1" x14ac:dyDescent="0.5">
      <c r="A25" s="142"/>
      <c r="C25" s="238"/>
      <c r="D25" s="238"/>
      <c r="E25" s="238"/>
      <c r="F25" s="238"/>
      <c r="G25" s="238"/>
      <c r="H25" s="238"/>
      <c r="I25" s="238"/>
      <c r="N25" s="141"/>
    </row>
    <row r="26" spans="1:16" ht="16.5" customHeight="1" x14ac:dyDescent="0.25">
      <c r="A26" s="152" t="s">
        <v>1</v>
      </c>
      <c r="B26" s="154" t="s">
        <v>2</v>
      </c>
      <c r="C26" s="154" t="s">
        <v>194</v>
      </c>
      <c r="D26" s="154" t="s">
        <v>89</v>
      </c>
      <c r="E26" s="154" t="s">
        <v>4</v>
      </c>
      <c r="F26" s="154" t="s">
        <v>37</v>
      </c>
      <c r="G26" s="154" t="s">
        <v>195</v>
      </c>
      <c r="H26" s="154" t="s">
        <v>196</v>
      </c>
      <c r="I26" s="154" t="s">
        <v>309</v>
      </c>
      <c r="J26" s="179" t="s">
        <v>310</v>
      </c>
      <c r="L26" s="392" t="s">
        <v>336</v>
      </c>
      <c r="M26" s="392"/>
      <c r="O26" s="392" t="s">
        <v>200</v>
      </c>
      <c r="P26" s="392"/>
    </row>
    <row r="27" spans="1:16" ht="12.75" customHeight="1" x14ac:dyDescent="0.25">
      <c r="A27" s="150">
        <v>1</v>
      </c>
      <c r="B27" s="218" t="s">
        <v>302</v>
      </c>
      <c r="C27" s="150"/>
      <c r="D27" s="150">
        <v>10</v>
      </c>
      <c r="E27" s="150"/>
      <c r="F27" s="150">
        <v>3200</v>
      </c>
      <c r="G27" s="107">
        <v>3200</v>
      </c>
      <c r="H27" s="136">
        <f>Table257911[[#This Row],[Total Fee]]-Table257911[[#This Row],[Fee Paid]]</f>
        <v>0</v>
      </c>
      <c r="I27" s="144">
        <f>G27/100*75</f>
        <v>2400</v>
      </c>
      <c r="J27" s="151">
        <f>Table257911[[#This Row],[Fee Paid]]/100*25</f>
        <v>800</v>
      </c>
      <c r="L27" s="132" t="s">
        <v>201</v>
      </c>
      <c r="M27" s="131">
        <f>SUM(F27:F33)</f>
        <v>12150</v>
      </c>
      <c r="O27" s="186" t="s">
        <v>4</v>
      </c>
      <c r="P27" s="186" t="s">
        <v>312</v>
      </c>
    </row>
    <row r="28" spans="1:16" ht="14.25" customHeight="1" x14ac:dyDescent="0.25">
      <c r="A28" s="150">
        <v>2</v>
      </c>
      <c r="B28" s="218" t="s">
        <v>314</v>
      </c>
      <c r="C28" s="150">
        <v>3</v>
      </c>
      <c r="D28" s="150" t="s">
        <v>274</v>
      </c>
      <c r="E28" s="150"/>
      <c r="F28" s="150">
        <v>2100</v>
      </c>
      <c r="G28" s="143">
        <v>2100</v>
      </c>
      <c r="H28" s="131">
        <f>Table257911[[#This Row],[Total Fee]]-Table257911[[#This Row],[Fee Paid]]</f>
        <v>0</v>
      </c>
      <c r="I28" s="145">
        <f t="shared" ref="I28:I31" si="2">G28/100*75</f>
        <v>1575</v>
      </c>
      <c r="J28" s="162">
        <f>Table257911[[#This Row],[Fee Paid]]/100*25</f>
        <v>525</v>
      </c>
      <c r="L28" s="132" t="s">
        <v>202</v>
      </c>
      <c r="M28" s="131">
        <f>SUM(G27:G33)</f>
        <v>11150</v>
      </c>
      <c r="O28" s="130"/>
      <c r="P28" s="233">
        <v>0</v>
      </c>
    </row>
    <row r="29" spans="1:16" ht="15" customHeight="1" x14ac:dyDescent="0.25">
      <c r="A29" s="150">
        <v>3</v>
      </c>
      <c r="B29" s="218" t="s">
        <v>315</v>
      </c>
      <c r="C29" s="150">
        <v>3</v>
      </c>
      <c r="D29" s="150" t="s">
        <v>235</v>
      </c>
      <c r="E29" s="150"/>
      <c r="F29" s="150">
        <v>2100</v>
      </c>
      <c r="G29" s="163">
        <v>2100</v>
      </c>
      <c r="H29" s="131">
        <f>Table257911[[#This Row],[Total Fee]]-Table257911[[#This Row],[Fee Paid]]</f>
        <v>0</v>
      </c>
      <c r="I29" s="166">
        <f>G29/100*75</f>
        <v>1575</v>
      </c>
      <c r="J29" s="167">
        <f>Table257911[[#This Row],[Fee Paid]]/100*25</f>
        <v>525</v>
      </c>
      <c r="L29" s="132" t="s">
        <v>203</v>
      </c>
      <c r="M29" s="131">
        <f>SUM(Table257911[Teacher Share (75%)])</f>
        <v>8362.5</v>
      </c>
      <c r="O29" s="128"/>
      <c r="P29" s="233">
        <v>0</v>
      </c>
    </row>
    <row r="30" spans="1:16" x14ac:dyDescent="0.25">
      <c r="A30" s="150">
        <v>4</v>
      </c>
      <c r="B30" s="218" t="s">
        <v>317</v>
      </c>
      <c r="C30" s="219">
        <v>2</v>
      </c>
      <c r="D30" s="219"/>
      <c r="E30" s="220"/>
      <c r="F30" s="219">
        <v>1000</v>
      </c>
      <c r="G30" s="8"/>
      <c r="H30" s="131">
        <f>Table257911[[#This Row],[Total Fee]]-Table257911[[#This Row],[Fee Paid]]</f>
        <v>1000</v>
      </c>
      <c r="I30" s="145">
        <f t="shared" si="2"/>
        <v>0</v>
      </c>
      <c r="J30" s="162">
        <f>Table257911[[#This Row],[Fee Paid]]/100*25</f>
        <v>0</v>
      </c>
      <c r="L30" s="132" t="s">
        <v>204</v>
      </c>
      <c r="M30" s="131">
        <f>SUM(Table257911[Academy Share (25%)])</f>
        <v>2787.5</v>
      </c>
      <c r="O30" s="130"/>
      <c r="P30" s="233">
        <v>0</v>
      </c>
    </row>
    <row r="31" spans="1:16" x14ac:dyDescent="0.25">
      <c r="A31" s="150">
        <v>8</v>
      </c>
      <c r="B31" s="218" t="s">
        <v>329</v>
      </c>
      <c r="C31" s="217" t="s">
        <v>335</v>
      </c>
      <c r="D31" s="217"/>
      <c r="E31" s="221"/>
      <c r="F31" s="217">
        <v>1000</v>
      </c>
      <c r="G31" s="163">
        <v>1000</v>
      </c>
      <c r="H31" s="165">
        <f>Table257911[[#This Row],[Total Fee]]-Table257911[[#This Row],[Fee Paid]]</f>
        <v>0</v>
      </c>
      <c r="I31" s="166">
        <f t="shared" si="2"/>
        <v>750</v>
      </c>
      <c r="J31" s="167">
        <f>Table257911[[#This Row],[Fee Paid]]/100*25</f>
        <v>250</v>
      </c>
      <c r="L31" s="132" t="s">
        <v>205</v>
      </c>
      <c r="M31" s="131">
        <f>M29+M30</f>
        <v>11150</v>
      </c>
      <c r="O31" s="128"/>
      <c r="P31" s="233">
        <v>0</v>
      </c>
    </row>
    <row r="32" spans="1:16" ht="15.75" thickBot="1" x14ac:dyDescent="0.3">
      <c r="A32" s="150">
        <v>9</v>
      </c>
      <c r="B32" s="231" t="s">
        <v>330</v>
      </c>
      <c r="C32" s="217" t="s">
        <v>335</v>
      </c>
      <c r="D32" s="217"/>
      <c r="E32" s="221"/>
      <c r="F32" s="217">
        <v>1500</v>
      </c>
      <c r="G32" s="163">
        <v>1500</v>
      </c>
      <c r="H32" s="165">
        <f>Table257911[[#This Row],[Total Fee]]-Table257911[[#This Row],[Fee Paid]]</f>
        <v>0</v>
      </c>
      <c r="I32" s="166">
        <f>G32/100*75</f>
        <v>1125</v>
      </c>
      <c r="J32" s="167">
        <f>Table257911[[#This Row],[Fee Paid]]/100*25</f>
        <v>375</v>
      </c>
      <c r="L32" s="132" t="s">
        <v>48</v>
      </c>
      <c r="M32" s="131">
        <f>P33</f>
        <v>0</v>
      </c>
      <c r="O32" s="168"/>
      <c r="P32" s="233">
        <v>0</v>
      </c>
    </row>
    <row r="33" spans="1:16" ht="15.75" thickBot="1" x14ac:dyDescent="0.3">
      <c r="A33" s="150">
        <v>10</v>
      </c>
      <c r="B33" s="231" t="s">
        <v>332</v>
      </c>
      <c r="C33" s="217" t="s">
        <v>335</v>
      </c>
      <c r="D33" s="217"/>
      <c r="E33" s="221"/>
      <c r="F33" s="217">
        <v>1250</v>
      </c>
      <c r="G33" s="163">
        <v>1250</v>
      </c>
      <c r="H33" s="165">
        <f>Table257911[[#This Row],[Total Fee]]-Table257911[[#This Row],[Fee Paid]]</f>
        <v>0</v>
      </c>
      <c r="I33" s="166">
        <f>G33/100*75</f>
        <v>937.5</v>
      </c>
      <c r="J33" s="167">
        <f>Table257911[[#This Row],[Fee Paid]]/100*25</f>
        <v>312.5</v>
      </c>
      <c r="L33" s="132" t="s">
        <v>207</v>
      </c>
      <c r="M33" s="131">
        <f>M29-M32</f>
        <v>8362.5</v>
      </c>
      <c r="O33" s="169" t="s">
        <v>208</v>
      </c>
      <c r="P33" s="170">
        <f>SUM(P27:P32)</f>
        <v>0</v>
      </c>
    </row>
    <row r="35" spans="1:16" x14ac:dyDescent="0.25">
      <c r="L35" s="142"/>
    </row>
    <row r="36" spans="1:16" x14ac:dyDescent="0.25">
      <c r="L36" s="142"/>
    </row>
    <row r="44" spans="1:16" x14ac:dyDescent="0.25">
      <c r="I44" t="s">
        <v>259</v>
      </c>
    </row>
    <row r="45" spans="1:16" x14ac:dyDescent="0.25">
      <c r="I45" s="177" t="s">
        <v>195</v>
      </c>
      <c r="J45" t="s">
        <v>345</v>
      </c>
    </row>
    <row r="47" spans="1:16" x14ac:dyDescent="0.25">
      <c r="I47" s="177" t="s">
        <v>261</v>
      </c>
    </row>
    <row r="48" spans="1:16" x14ac:dyDescent="0.25">
      <c r="I48" s="178" t="s">
        <v>236</v>
      </c>
    </row>
    <row r="49" spans="9:13" x14ac:dyDescent="0.25">
      <c r="I49" s="178" t="s">
        <v>225</v>
      </c>
    </row>
    <row r="50" spans="9:13" x14ac:dyDescent="0.25">
      <c r="I50" s="178" t="s">
        <v>227</v>
      </c>
    </row>
    <row r="51" spans="9:13" x14ac:dyDescent="0.25">
      <c r="I51" s="178" t="s">
        <v>30</v>
      </c>
    </row>
    <row r="52" spans="9:13" x14ac:dyDescent="0.25">
      <c r="I52" s="178" t="s">
        <v>238</v>
      </c>
    </row>
    <row r="53" spans="9:13" x14ac:dyDescent="0.25">
      <c r="I53" s="178" t="s">
        <v>97</v>
      </c>
      <c r="L53" t="s">
        <v>258</v>
      </c>
    </row>
    <row r="54" spans="9:13" x14ac:dyDescent="0.25">
      <c r="I54" s="178" t="s">
        <v>219</v>
      </c>
      <c r="L54" s="177" t="s">
        <v>195</v>
      </c>
      <c r="M54" t="s">
        <v>260</v>
      </c>
    </row>
    <row r="55" spans="9:13" x14ac:dyDescent="0.25">
      <c r="I55" s="178" t="s">
        <v>229</v>
      </c>
    </row>
    <row r="56" spans="9:13" x14ac:dyDescent="0.25">
      <c r="I56" s="178" t="s">
        <v>231</v>
      </c>
      <c r="L56" s="177" t="s">
        <v>261</v>
      </c>
    </row>
    <row r="57" spans="9:13" x14ac:dyDescent="0.25">
      <c r="I57" s="178" t="s">
        <v>184</v>
      </c>
      <c r="L57" s="178" t="s">
        <v>255</v>
      </c>
    </row>
    <row r="58" spans="9:13" x14ac:dyDescent="0.25">
      <c r="I58" s="178" t="s">
        <v>92</v>
      </c>
      <c r="L58" s="178" t="s">
        <v>262</v>
      </c>
    </row>
    <row r="59" spans="9:13" x14ac:dyDescent="0.25">
      <c r="I59" s="178" t="s">
        <v>262</v>
      </c>
    </row>
  </sheetData>
  <mergeCells count="6">
    <mergeCell ref="C2:I3"/>
    <mergeCell ref="L5:M5"/>
    <mergeCell ref="O5:P5"/>
    <mergeCell ref="C23:I24"/>
    <mergeCell ref="L26:M26"/>
    <mergeCell ref="O26:P26"/>
  </mergeCells>
  <conditionalFormatting sqref="G7">
    <cfRule type="cellIs" dxfId="6" priority="4" operator="lessThan">
      <formula>500</formula>
    </cfRule>
  </conditionalFormatting>
  <conditionalFormatting sqref="H6:H22 H27:H33">
    <cfRule type="cellIs" dxfId="5" priority="2" operator="greaterThan">
      <formula>0</formula>
    </cfRule>
  </conditionalFormatting>
  <conditionalFormatting sqref="H27:H33">
    <cfRule type="cellIs" dxfId="4" priority="1" operator="equal">
      <formula>0</formula>
    </cfRule>
  </conditionalFormatting>
  <pageMargins left="0.23622047244094491" right="0.23622047244094491" top="0" bottom="0" header="0" footer="0"/>
  <pageSetup orientation="landscape" r:id="rId3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1003-982F-4D80-A7E3-11AAC3516298}">
  <dimension ref="A1:T61"/>
  <sheetViews>
    <sheetView tabSelected="1" zoomScaleNormal="100" workbookViewId="0">
      <selection activeCell="A34" sqref="A34:XFD34"/>
    </sheetView>
  </sheetViews>
  <sheetFormatPr defaultRowHeight="15" x14ac:dyDescent="0.25"/>
  <cols>
    <col min="1" max="1" width="4.28515625" bestFit="1" customWidth="1"/>
    <col min="2" max="2" width="14.42578125" bestFit="1" customWidth="1"/>
    <col min="3" max="3" width="9" bestFit="1" customWidth="1"/>
    <col min="4" max="4" width="7" bestFit="1" customWidth="1"/>
    <col min="5" max="5" width="4.42578125" bestFit="1" customWidth="1"/>
    <col min="6" max="6" width="7.5703125" bestFit="1" customWidth="1"/>
    <col min="7" max="7" width="7" bestFit="1" customWidth="1"/>
    <col min="8" max="8" width="8.5703125" bestFit="1" customWidth="1"/>
    <col min="9" max="9" width="13.140625" bestFit="1" customWidth="1"/>
    <col min="10" max="10" width="16.7109375" style="142" bestFit="1" customWidth="1"/>
    <col min="12" max="12" width="21.7109375" bestFit="1" customWidth="1"/>
    <col min="13" max="13" width="11" bestFit="1" customWidth="1"/>
    <col min="14" max="14" width="12.28515625" customWidth="1"/>
    <col min="15" max="15" width="6" bestFit="1" customWidth="1"/>
    <col min="16" max="16" width="9.140625" bestFit="1" customWidth="1"/>
    <col min="18" max="18" width="11.28515625" customWidth="1"/>
    <col min="19" max="19" width="10.7109375" customWidth="1"/>
    <col min="20" max="20" width="12.5703125" customWidth="1"/>
    <col min="21" max="21" width="21" customWidth="1"/>
    <col min="22" max="22" width="22.140625" customWidth="1"/>
  </cols>
  <sheetData>
    <row r="1" spans="1:20" ht="22.5" customHeight="1" thickBot="1" x14ac:dyDescent="0.3"/>
    <row r="2" spans="1:20" ht="12.75" customHeight="1" x14ac:dyDescent="0.25">
      <c r="B2" s="280" t="s">
        <v>217</v>
      </c>
      <c r="C2" s="281"/>
      <c r="D2" s="281"/>
      <c r="E2" s="281"/>
      <c r="F2" s="281"/>
      <c r="G2" s="281"/>
      <c r="H2" s="281"/>
      <c r="I2" s="282"/>
      <c r="J2" s="269">
        <v>46296</v>
      </c>
    </row>
    <row r="3" spans="1:20" ht="12" customHeight="1" x14ac:dyDescent="0.25">
      <c r="A3" s="142"/>
      <c r="B3" s="283"/>
      <c r="C3" s="284"/>
      <c r="D3" s="284"/>
      <c r="E3" s="284"/>
      <c r="F3" s="284"/>
      <c r="G3" s="284"/>
      <c r="H3" s="284"/>
      <c r="I3" s="285"/>
      <c r="J3" s="271"/>
    </row>
    <row r="4" spans="1:20" ht="15" customHeight="1" thickBot="1" x14ac:dyDescent="0.3">
      <c r="A4" s="142"/>
      <c r="B4" s="286"/>
      <c r="C4" s="287"/>
      <c r="D4" s="287"/>
      <c r="E4" s="287"/>
      <c r="F4" s="287"/>
      <c r="G4" s="287"/>
      <c r="H4" s="287"/>
      <c r="I4" s="288"/>
      <c r="J4" s="272"/>
    </row>
    <row r="5" spans="1:20" ht="6.75" customHeight="1" x14ac:dyDescent="0.25">
      <c r="A5" s="142"/>
      <c r="I5" s="142"/>
    </row>
    <row r="6" spans="1:20" ht="19.5" customHeight="1" x14ac:dyDescent="0.25">
      <c r="A6" s="244" t="s">
        <v>1</v>
      </c>
      <c r="B6" s="245" t="s">
        <v>2</v>
      </c>
      <c r="C6" s="245" t="s">
        <v>194</v>
      </c>
      <c r="D6" s="245" t="s">
        <v>89</v>
      </c>
      <c r="E6" s="245" t="s">
        <v>4</v>
      </c>
      <c r="F6" s="245" t="s">
        <v>37</v>
      </c>
      <c r="G6" s="245" t="s">
        <v>195</v>
      </c>
      <c r="H6" s="245" t="s">
        <v>196</v>
      </c>
      <c r="I6" s="246" t="s">
        <v>309</v>
      </c>
      <c r="J6" s="247" t="s">
        <v>310</v>
      </c>
      <c r="L6" s="268" t="s">
        <v>311</v>
      </c>
      <c r="M6" s="268"/>
      <c r="N6" s="3"/>
      <c r="O6" s="268" t="s">
        <v>200</v>
      </c>
      <c r="P6" s="268"/>
      <c r="R6" s="273" t="s">
        <v>353</v>
      </c>
      <c r="S6" s="273"/>
      <c r="T6" s="273"/>
    </row>
    <row r="7" spans="1:20" x14ac:dyDescent="0.25">
      <c r="A7" s="248">
        <v>1</v>
      </c>
      <c r="B7" s="248" t="s">
        <v>302</v>
      </c>
      <c r="C7" s="248"/>
      <c r="D7" s="248" t="s">
        <v>96</v>
      </c>
      <c r="E7" s="248"/>
      <c r="F7" s="248">
        <v>3200</v>
      </c>
      <c r="G7" s="38">
        <v>0</v>
      </c>
      <c r="H7" s="249">
        <f>Table14681012[[#This Row],[Total Fee]]-Table14681012[[#This Row],[Fee Paid]]</f>
        <v>3200</v>
      </c>
      <c r="I7" s="250">
        <f>Table14681012[[#This Row],[Fee Paid]]*75%</f>
        <v>0</v>
      </c>
      <c r="J7" s="251">
        <f>Table14681012[[#This Row],[Fee Paid]]*25%</f>
        <v>0</v>
      </c>
      <c r="L7" s="261" t="s">
        <v>201</v>
      </c>
      <c r="M7" s="254">
        <f>SUM(F7:F23)</f>
        <v>27900</v>
      </c>
      <c r="N7" s="3"/>
      <c r="O7" s="260" t="s">
        <v>4</v>
      </c>
      <c r="P7" s="260" t="s">
        <v>312</v>
      </c>
      <c r="R7" s="128" t="s">
        <v>349</v>
      </c>
      <c r="S7" s="128" t="s">
        <v>333</v>
      </c>
      <c r="T7" s="128" t="s">
        <v>151</v>
      </c>
    </row>
    <row r="8" spans="1:20" x14ac:dyDescent="0.25">
      <c r="A8" s="248">
        <v>2</v>
      </c>
      <c r="B8" s="248" t="s">
        <v>303</v>
      </c>
      <c r="C8" s="248"/>
      <c r="D8" s="248"/>
      <c r="E8" s="248"/>
      <c r="F8" s="248">
        <v>1000</v>
      </c>
      <c r="G8" s="38">
        <v>1000</v>
      </c>
      <c r="H8" s="249">
        <f>Table14681012[[#This Row],[Total Fee]]-Table14681012[[#This Row],[Fee Paid]]</f>
        <v>0</v>
      </c>
      <c r="I8" s="250">
        <f>Table14681012[[#This Row],[Fee Paid]]*75%</f>
        <v>750</v>
      </c>
      <c r="J8" s="251">
        <f>Table14681012[[#This Row],[Fee Paid]]*25%</f>
        <v>250</v>
      </c>
      <c r="L8" s="261" t="s">
        <v>202</v>
      </c>
      <c r="M8" s="254">
        <f>SUM(G7:G23)</f>
        <v>14200</v>
      </c>
      <c r="N8" s="3"/>
      <c r="O8" s="263"/>
      <c r="P8" s="264">
        <v>0</v>
      </c>
      <c r="R8" s="128" t="s">
        <v>91</v>
      </c>
      <c r="S8" s="128" t="s">
        <v>67</v>
      </c>
      <c r="T8" s="128" t="s">
        <v>41</v>
      </c>
    </row>
    <row r="9" spans="1:20" x14ac:dyDescent="0.25">
      <c r="A9" s="248">
        <v>3</v>
      </c>
      <c r="B9" s="248" t="s">
        <v>304</v>
      </c>
      <c r="C9" s="248"/>
      <c r="D9" s="248"/>
      <c r="E9" s="248"/>
      <c r="F9" s="248">
        <v>2000</v>
      </c>
      <c r="G9" s="38">
        <v>0</v>
      </c>
      <c r="H9" s="249">
        <f>Table14681012[[#This Row],[Total Fee]]-Table14681012[[#This Row],[Fee Paid]]</f>
        <v>2000</v>
      </c>
      <c r="I9" s="250">
        <f>Table14681012[[#This Row],[Fee Paid]]*75%</f>
        <v>0</v>
      </c>
      <c r="J9" s="251">
        <f>Table14681012[[#This Row],[Fee Paid]]*25%</f>
        <v>0</v>
      </c>
      <c r="L9" s="261" t="s">
        <v>203</v>
      </c>
      <c r="M9" s="254">
        <f>SUM(Table14681012[Teacher Share (75%)])</f>
        <v>10650</v>
      </c>
      <c r="N9" s="262"/>
      <c r="O9" s="263"/>
      <c r="P9" s="264">
        <v>0</v>
      </c>
      <c r="R9" s="128" t="s">
        <v>96</v>
      </c>
      <c r="S9" s="128" t="s">
        <v>346</v>
      </c>
      <c r="T9" s="128" t="s">
        <v>23</v>
      </c>
    </row>
    <row r="10" spans="1:20" x14ac:dyDescent="0.25">
      <c r="A10" s="248">
        <v>4</v>
      </c>
      <c r="B10" s="248" t="s">
        <v>306</v>
      </c>
      <c r="C10" s="248"/>
      <c r="D10" s="248"/>
      <c r="E10" s="248"/>
      <c r="F10" s="248">
        <v>2000</v>
      </c>
      <c r="G10" s="38">
        <v>2000</v>
      </c>
      <c r="H10" s="249">
        <f>Table14681012[[#This Row],[Total Fee]]-Table14681012[[#This Row],[Fee Paid]]</f>
        <v>0</v>
      </c>
      <c r="I10" s="250">
        <f>Table14681012[[#This Row],[Fee Paid]]*75%</f>
        <v>1500</v>
      </c>
      <c r="J10" s="251">
        <f>Table14681012[[#This Row],[Fee Paid]]*25%</f>
        <v>500</v>
      </c>
      <c r="L10" s="261" t="s">
        <v>204</v>
      </c>
      <c r="M10" s="254">
        <f>SUM(Table14681012[Academy Share (25%)])</f>
        <v>3550</v>
      </c>
      <c r="N10" s="262"/>
      <c r="O10" s="8"/>
      <c r="P10" s="264">
        <v>0</v>
      </c>
      <c r="R10" s="128" t="s">
        <v>350</v>
      </c>
      <c r="S10" s="128" t="s">
        <v>347</v>
      </c>
      <c r="T10" s="128" t="s">
        <v>351</v>
      </c>
    </row>
    <row r="11" spans="1:20" x14ac:dyDescent="0.25">
      <c r="A11" s="248">
        <v>5</v>
      </c>
      <c r="B11" s="248" t="s">
        <v>308</v>
      </c>
      <c r="C11" s="248"/>
      <c r="D11" s="248" t="s">
        <v>350</v>
      </c>
      <c r="E11" s="248"/>
      <c r="F11" s="248">
        <v>1500</v>
      </c>
      <c r="G11" s="38">
        <v>0</v>
      </c>
      <c r="H11" s="249">
        <f>Table14681012[[#This Row],[Total Fee]]-Table14681012[[#This Row],[Fee Paid]]</f>
        <v>1500</v>
      </c>
      <c r="I11" s="250">
        <f>Table14681012[[#This Row],[Fee Paid]]*75%</f>
        <v>0</v>
      </c>
      <c r="J11" s="251">
        <f>Table14681012[[#This Row],[Fee Paid]]*25%</f>
        <v>0</v>
      </c>
      <c r="L11" s="261" t="s">
        <v>205</v>
      </c>
      <c r="M11" s="254">
        <f>SUM(M9:M10)</f>
        <v>14200</v>
      </c>
      <c r="N11" s="262"/>
      <c r="O11" s="8"/>
      <c r="P11" s="264">
        <v>0</v>
      </c>
      <c r="R11" s="128" t="s">
        <v>237</v>
      </c>
      <c r="S11" s="128" t="s">
        <v>348</v>
      </c>
      <c r="T11" s="128" t="s">
        <v>352</v>
      </c>
    </row>
    <row r="12" spans="1:20" ht="15.75" thickBot="1" x14ac:dyDescent="0.3">
      <c r="A12" s="248">
        <v>6</v>
      </c>
      <c r="B12" s="248" t="s">
        <v>326</v>
      </c>
      <c r="C12" s="248" t="s">
        <v>346</v>
      </c>
      <c r="D12" s="248" t="s">
        <v>91</v>
      </c>
      <c r="E12" s="248"/>
      <c r="F12" s="248">
        <v>2000</v>
      </c>
      <c r="G12" s="38">
        <v>2000</v>
      </c>
      <c r="H12" s="249">
        <f>Table14681012[[#This Row],[Total Fee]]-Table14681012[[#This Row],[Fee Paid]]</f>
        <v>0</v>
      </c>
      <c r="I12" s="250">
        <f>Table14681012[[#This Row],[Fee Paid]]*75%</f>
        <v>1500</v>
      </c>
      <c r="J12" s="251">
        <f>Table14681012[[#This Row],[Fee Paid]]*25%</f>
        <v>500</v>
      </c>
      <c r="L12" s="261" t="s">
        <v>48</v>
      </c>
      <c r="M12" s="254">
        <f>P13</f>
        <v>0</v>
      </c>
      <c r="N12" s="262"/>
      <c r="O12" s="163"/>
      <c r="P12" s="264">
        <v>0</v>
      </c>
      <c r="R12" s="128"/>
      <c r="S12" s="128"/>
      <c r="T12" s="128" t="s">
        <v>348</v>
      </c>
    </row>
    <row r="13" spans="1:20" ht="15.75" thickBot="1" x14ac:dyDescent="0.3">
      <c r="A13" s="248">
        <v>7</v>
      </c>
      <c r="B13" s="248" t="s">
        <v>315</v>
      </c>
      <c r="C13" s="248" t="s">
        <v>346</v>
      </c>
      <c r="D13" s="248" t="s">
        <v>349</v>
      </c>
      <c r="E13" s="248"/>
      <c r="F13" s="248">
        <v>2100</v>
      </c>
      <c r="G13" s="38">
        <v>2100</v>
      </c>
      <c r="H13" s="249">
        <f>Table14681012[[#This Row],[Total Fee]]-Table14681012[[#This Row],[Fee Paid]]</f>
        <v>0</v>
      </c>
      <c r="I13" s="250">
        <f>Table14681012[[#This Row],[Fee Paid]]*75%</f>
        <v>1575</v>
      </c>
      <c r="J13" s="251">
        <f>Table14681012[[#This Row],[Fee Paid]]*25%</f>
        <v>525</v>
      </c>
      <c r="L13" s="261" t="s">
        <v>207</v>
      </c>
      <c r="M13" s="254">
        <f>M9-M12</f>
        <v>10650</v>
      </c>
      <c r="N13" s="262"/>
      <c r="O13" s="265" t="s">
        <v>208</v>
      </c>
      <c r="P13" s="266">
        <f>SUM(P7:P12)</f>
        <v>0</v>
      </c>
    </row>
    <row r="14" spans="1:20" ht="11.25" customHeight="1" x14ac:dyDescent="0.25">
      <c r="A14" s="248">
        <v>8</v>
      </c>
      <c r="B14" s="248" t="s">
        <v>314</v>
      </c>
      <c r="C14" s="248" t="s">
        <v>346</v>
      </c>
      <c r="D14" s="248" t="s">
        <v>349</v>
      </c>
      <c r="E14" s="248"/>
      <c r="F14" s="248">
        <v>700</v>
      </c>
      <c r="G14" s="38">
        <v>700</v>
      </c>
      <c r="H14" s="253">
        <f>Table14681012[[#This Row],[Total Fee]]-Table14681012[[#This Row],[Fee Paid]]</f>
        <v>0</v>
      </c>
      <c r="I14" s="250">
        <f>Table14681012[[#This Row],[Fee Paid]]*75%</f>
        <v>525</v>
      </c>
      <c r="J14" s="251">
        <f>Table14681012[[#This Row],[Fee Paid]]*25%</f>
        <v>175</v>
      </c>
      <c r="L14" s="3"/>
      <c r="M14" s="3"/>
      <c r="N14" s="262"/>
      <c r="O14" s="3"/>
      <c r="P14" s="3"/>
    </row>
    <row r="15" spans="1:20" x14ac:dyDescent="0.25">
      <c r="A15" s="248">
        <v>9</v>
      </c>
      <c r="B15" s="248" t="s">
        <v>330</v>
      </c>
      <c r="C15" s="248" t="s">
        <v>333</v>
      </c>
      <c r="D15" s="248" t="s">
        <v>350</v>
      </c>
      <c r="E15" s="248"/>
      <c r="F15" s="248">
        <v>1500</v>
      </c>
      <c r="G15" s="38">
        <v>1500</v>
      </c>
      <c r="H15" s="249">
        <f>Table14681012[[#This Row],[Total Fee]]-Table14681012[[#This Row],[Fee Paid]]</f>
        <v>0</v>
      </c>
      <c r="I15" s="250">
        <f>Table14681012[[#This Row],[Fee Paid]]*75%</f>
        <v>1125</v>
      </c>
      <c r="J15" s="251">
        <f>Table14681012[[#This Row],[Fee Paid]]*25%</f>
        <v>375</v>
      </c>
      <c r="L15" s="3"/>
      <c r="M15" s="3"/>
      <c r="N15" s="3"/>
      <c r="O15" s="3"/>
      <c r="P15" s="3"/>
    </row>
    <row r="16" spans="1:20" x14ac:dyDescent="0.25">
      <c r="A16" s="248">
        <v>10</v>
      </c>
      <c r="B16" s="248" t="s">
        <v>334</v>
      </c>
      <c r="C16" s="248" t="s">
        <v>333</v>
      </c>
      <c r="D16" s="248"/>
      <c r="E16" s="248"/>
      <c r="F16" s="248">
        <v>1500</v>
      </c>
      <c r="G16" s="38">
        <v>0</v>
      </c>
      <c r="H16" s="253">
        <f>Table14681012[[#This Row],[Total Fee]]-Table14681012[[#This Row],[Fee Paid]]</f>
        <v>1500</v>
      </c>
      <c r="I16" s="250">
        <f>Table14681012[[#This Row],[Fee Paid]]*75%</f>
        <v>0</v>
      </c>
      <c r="J16" s="251">
        <f>Table14681012[[#This Row],[Fee Paid]]*25%</f>
        <v>0</v>
      </c>
      <c r="L16" s="3"/>
      <c r="M16" s="3"/>
      <c r="N16" s="3"/>
      <c r="O16" s="3"/>
      <c r="P16" s="3"/>
    </row>
    <row r="17" spans="1:16" x14ac:dyDescent="0.25">
      <c r="A17" s="248">
        <v>12</v>
      </c>
      <c r="B17" s="248" t="s">
        <v>338</v>
      </c>
      <c r="C17" s="248" t="s">
        <v>67</v>
      </c>
      <c r="D17" s="248" t="s">
        <v>96</v>
      </c>
      <c r="E17" s="248"/>
      <c r="F17" s="248">
        <v>1000</v>
      </c>
      <c r="G17" s="38">
        <v>0</v>
      </c>
      <c r="H17" s="249">
        <f>Table14681012[[#This Row],[Total Fee]]-Table14681012[[#This Row],[Fee Paid]]</f>
        <v>1000</v>
      </c>
      <c r="I17" s="250">
        <f>Table14681012[[#This Row],[Fee Paid]]*75%</f>
        <v>0</v>
      </c>
      <c r="J17" s="251">
        <f>Table14681012[[#This Row],[Fee Paid]]*25%</f>
        <v>0</v>
      </c>
      <c r="L17" s="3"/>
      <c r="M17" s="3"/>
      <c r="N17" s="262"/>
      <c r="O17" s="3"/>
      <c r="P17" s="3"/>
    </row>
    <row r="18" spans="1:16" x14ac:dyDescent="0.25">
      <c r="A18" s="248">
        <v>13</v>
      </c>
      <c r="B18" s="248" t="s">
        <v>343</v>
      </c>
      <c r="C18" s="248" t="s">
        <v>346</v>
      </c>
      <c r="D18" s="248"/>
      <c r="E18" s="248"/>
      <c r="F18" s="248">
        <v>3000</v>
      </c>
      <c r="G18" s="38">
        <v>3000</v>
      </c>
      <c r="H18" s="249">
        <f>Table14681012[[#This Row],[Total Fee]]-Table14681012[[#This Row],[Fee Paid]]</f>
        <v>0</v>
      </c>
      <c r="I18" s="250">
        <f>Table14681012[[#This Row],[Fee Paid]]*75%</f>
        <v>2250</v>
      </c>
      <c r="J18" s="251">
        <f>Table14681012[[#This Row],[Fee Paid]]*25%</f>
        <v>750</v>
      </c>
      <c r="L18" s="3"/>
      <c r="M18" s="3"/>
      <c r="N18" s="262"/>
      <c r="O18" s="3"/>
      <c r="P18" s="3"/>
    </row>
    <row r="19" spans="1:16" x14ac:dyDescent="0.25">
      <c r="A19" s="248">
        <v>14</v>
      </c>
      <c r="B19" s="248" t="s">
        <v>344</v>
      </c>
      <c r="C19" s="248" t="s">
        <v>67</v>
      </c>
      <c r="D19" s="248"/>
      <c r="E19" s="248"/>
      <c r="F19" s="248">
        <v>400</v>
      </c>
      <c r="G19" s="38">
        <v>400</v>
      </c>
      <c r="H19" s="249">
        <f>Table14681012[[#This Row],[Total Fee]]-Table14681012[[#This Row],[Fee Paid]]</f>
        <v>0</v>
      </c>
      <c r="I19" s="250">
        <f>Table14681012[[#This Row],[Fee Paid]]*75%</f>
        <v>300</v>
      </c>
      <c r="J19" s="251">
        <f>Table14681012[[#This Row],[Fee Paid]]*25%</f>
        <v>100</v>
      </c>
      <c r="L19" s="3"/>
      <c r="M19" s="3"/>
      <c r="N19" s="262"/>
      <c r="O19" s="3"/>
      <c r="P19" s="3"/>
    </row>
    <row r="20" spans="1:16" x14ac:dyDescent="0.25">
      <c r="A20" s="248">
        <v>15</v>
      </c>
      <c r="B20" s="248" t="s">
        <v>354</v>
      </c>
      <c r="C20" s="248" t="s">
        <v>67</v>
      </c>
      <c r="D20" s="248" t="s">
        <v>350</v>
      </c>
      <c r="E20" s="248"/>
      <c r="F20" s="248">
        <v>1500</v>
      </c>
      <c r="G20" s="38"/>
      <c r="H20" s="249">
        <f>Table14681012[[#This Row],[Total Fee]]-Table14681012[[#This Row],[Fee Paid]]</f>
        <v>1500</v>
      </c>
      <c r="I20" s="250">
        <f>Table14681012[[#This Row],[Fee Paid]]*75%</f>
        <v>0</v>
      </c>
      <c r="J20" s="251">
        <f>Table14681012[[#This Row],[Fee Paid]]*25%</f>
        <v>0</v>
      </c>
      <c r="L20" s="3"/>
      <c r="M20" s="3"/>
      <c r="N20" s="262"/>
      <c r="O20" s="3"/>
      <c r="P20" s="3"/>
    </row>
    <row r="21" spans="1:16" ht="14.25" customHeight="1" x14ac:dyDescent="0.25">
      <c r="A21" s="248">
        <v>16</v>
      </c>
      <c r="B21" s="248" t="s">
        <v>355</v>
      </c>
      <c r="C21" s="248" t="s">
        <v>67</v>
      </c>
      <c r="D21" s="248" t="s">
        <v>350</v>
      </c>
      <c r="E21" s="248"/>
      <c r="F21" s="248">
        <v>1500</v>
      </c>
      <c r="G21" s="38"/>
      <c r="H21" s="249">
        <f>Table14681012[[#This Row],[Total Fee]]-Table14681012[[#This Row],[Fee Paid]]</f>
        <v>1500</v>
      </c>
      <c r="I21" s="250">
        <f>Table14681012[[#This Row],[Fee Paid]]*75%</f>
        <v>0</v>
      </c>
      <c r="J21" s="251">
        <f>Table14681012[[#This Row],[Fee Paid]]*25%</f>
        <v>0</v>
      </c>
      <c r="L21" s="3"/>
      <c r="M21" s="3"/>
      <c r="N21" s="262"/>
      <c r="O21" s="3"/>
      <c r="P21" s="3"/>
    </row>
    <row r="22" spans="1:16" ht="12" customHeight="1" x14ac:dyDescent="0.25">
      <c r="A22" s="248">
        <v>17</v>
      </c>
      <c r="B22" s="248" t="s">
        <v>171</v>
      </c>
      <c r="C22" s="248" t="s">
        <v>67</v>
      </c>
      <c r="D22" s="248" t="s">
        <v>350</v>
      </c>
      <c r="E22" s="248"/>
      <c r="F22" s="248">
        <v>1500</v>
      </c>
      <c r="G22" s="38"/>
      <c r="H22" s="249">
        <f>Table14681012[[#This Row],[Total Fee]]-Table14681012[[#This Row],[Fee Paid]]</f>
        <v>1500</v>
      </c>
      <c r="I22" s="250">
        <f>Table14681012[[#This Row],[Fee Paid]]*75%</f>
        <v>0</v>
      </c>
      <c r="J22" s="251">
        <f>Table14681012[[#This Row],[Fee Paid]]*25%</f>
        <v>0</v>
      </c>
      <c r="L22" s="3"/>
      <c r="M22" s="3"/>
      <c r="N22" s="262"/>
      <c r="O22" s="3"/>
      <c r="P22" s="3"/>
    </row>
    <row r="23" spans="1:16" ht="14.25" customHeight="1" x14ac:dyDescent="0.25">
      <c r="A23" s="248">
        <v>19</v>
      </c>
      <c r="B23" s="248" t="s">
        <v>342</v>
      </c>
      <c r="C23" s="248" t="s">
        <v>67</v>
      </c>
      <c r="D23" s="248" t="s">
        <v>350</v>
      </c>
      <c r="E23" s="248"/>
      <c r="F23" s="248">
        <v>1500</v>
      </c>
      <c r="G23" s="38">
        <v>1500</v>
      </c>
      <c r="H23" s="249">
        <f>Table14681012[[#This Row],[Total Fee]]-Table14681012[[#This Row],[Fee Paid]]</f>
        <v>0</v>
      </c>
      <c r="I23" s="250">
        <f>Table14681012[[#This Row],[Fee Paid]]*75%</f>
        <v>1125</v>
      </c>
      <c r="J23" s="251">
        <f>Table14681012[[#This Row],[Fee Paid]]*25%</f>
        <v>375</v>
      </c>
      <c r="L23" s="3"/>
      <c r="M23" s="3"/>
      <c r="N23" s="262"/>
      <c r="O23" s="3"/>
      <c r="P23" s="3"/>
    </row>
    <row r="24" spans="1:16" ht="15" customHeight="1" x14ac:dyDescent="0.25">
      <c r="A24" s="234"/>
      <c r="B24" s="235"/>
      <c r="C24" s="234"/>
      <c r="D24" s="236"/>
      <c r="E24" s="237"/>
      <c r="F24" s="234"/>
      <c r="G24" s="208"/>
      <c r="H24" s="204"/>
      <c r="I24" s="205"/>
      <c r="J24" s="205"/>
      <c r="L24" s="3"/>
      <c r="M24" s="3"/>
      <c r="N24" s="262"/>
      <c r="O24" s="3"/>
      <c r="P24" s="3"/>
    </row>
    <row r="25" spans="1:16" ht="13.5" customHeight="1" thickBot="1" x14ac:dyDescent="0.3">
      <c r="A25" s="234"/>
      <c r="B25" s="235"/>
      <c r="C25" s="234"/>
      <c r="D25" s="236"/>
      <c r="E25" s="237"/>
      <c r="F25" s="234"/>
      <c r="G25" s="234"/>
      <c r="H25" s="204"/>
      <c r="I25" s="205"/>
      <c r="J25" s="205"/>
      <c r="L25" s="3"/>
      <c r="M25" s="3"/>
      <c r="N25" s="262"/>
      <c r="O25" s="3"/>
      <c r="P25" s="3"/>
    </row>
    <row r="26" spans="1:16" ht="16.5" customHeight="1" x14ac:dyDescent="0.25">
      <c r="A26" s="142"/>
      <c r="B26" s="274" t="s">
        <v>331</v>
      </c>
      <c r="C26" s="275"/>
      <c r="D26" s="275"/>
      <c r="E26" s="275"/>
      <c r="F26" s="275"/>
      <c r="G26" s="275"/>
      <c r="H26" s="275"/>
      <c r="I26" s="276"/>
      <c r="J26" s="269">
        <v>46296</v>
      </c>
      <c r="L26" s="3"/>
      <c r="M26" s="3"/>
      <c r="N26" s="262"/>
      <c r="O26" s="3"/>
      <c r="P26" s="3"/>
    </row>
    <row r="27" spans="1:16" ht="12.75" customHeight="1" thickBot="1" x14ac:dyDescent="0.3">
      <c r="A27" s="142"/>
      <c r="B27" s="277"/>
      <c r="C27" s="278"/>
      <c r="D27" s="278"/>
      <c r="E27" s="278"/>
      <c r="F27" s="278"/>
      <c r="G27" s="278"/>
      <c r="H27" s="278"/>
      <c r="I27" s="279"/>
      <c r="J27" s="270"/>
      <c r="L27" s="3"/>
      <c r="M27" s="3"/>
      <c r="N27" s="262"/>
      <c r="O27" s="3"/>
      <c r="P27" s="3"/>
    </row>
    <row r="28" spans="1:16" ht="6.75" customHeight="1" x14ac:dyDescent="0.5">
      <c r="A28" s="142"/>
      <c r="C28" s="238"/>
      <c r="D28" s="238"/>
      <c r="E28" s="238"/>
      <c r="F28" s="238"/>
      <c r="G28" s="238"/>
      <c r="H28" s="238"/>
      <c r="I28" s="238"/>
      <c r="L28" s="3"/>
      <c r="M28" s="3"/>
      <c r="N28" s="262"/>
      <c r="O28" s="3"/>
      <c r="P28" s="3"/>
    </row>
    <row r="29" spans="1:16" ht="15" customHeight="1" x14ac:dyDescent="0.25">
      <c r="A29" s="244" t="s">
        <v>1</v>
      </c>
      <c r="B29" s="246" t="s">
        <v>2</v>
      </c>
      <c r="C29" s="246" t="s">
        <v>194</v>
      </c>
      <c r="D29" s="246" t="s">
        <v>89</v>
      </c>
      <c r="E29" s="246" t="s">
        <v>4</v>
      </c>
      <c r="F29" s="246" t="s">
        <v>37</v>
      </c>
      <c r="G29" s="246" t="s">
        <v>195</v>
      </c>
      <c r="H29" s="246" t="s">
        <v>196</v>
      </c>
      <c r="I29" s="246" t="s">
        <v>309</v>
      </c>
      <c r="J29" s="247" t="s">
        <v>310</v>
      </c>
      <c r="L29" s="268" t="s">
        <v>336</v>
      </c>
      <c r="M29" s="268"/>
      <c r="N29" s="3"/>
      <c r="O29" s="268" t="s">
        <v>200</v>
      </c>
      <c r="P29" s="268"/>
    </row>
    <row r="30" spans="1:16" x14ac:dyDescent="0.25">
      <c r="A30" s="219">
        <v>1</v>
      </c>
      <c r="B30" s="248" t="s">
        <v>302</v>
      </c>
      <c r="C30" s="219" t="s">
        <v>348</v>
      </c>
      <c r="D30" s="219" t="s">
        <v>96</v>
      </c>
      <c r="E30" s="219"/>
      <c r="F30" s="219">
        <v>3200</v>
      </c>
      <c r="G30" s="38"/>
      <c r="H30" s="249">
        <f>Table25791113[[#This Row],[Total Fee]]-Table25791113[[#This Row],[Fee Paid]]</f>
        <v>3200</v>
      </c>
      <c r="I30" s="250">
        <f>Table25791113[[#This Row],[Fee Paid]]*75%</f>
        <v>0</v>
      </c>
      <c r="J30" s="251">
        <f>Table25791113[[#This Row],[Fee Paid]]*25%</f>
        <v>0</v>
      </c>
      <c r="L30" s="261" t="s">
        <v>201</v>
      </c>
      <c r="M30" s="131">
        <f>SUM(F30:F36)</f>
        <v>13400</v>
      </c>
      <c r="N30" s="3"/>
      <c r="O30" s="260" t="s">
        <v>4</v>
      </c>
      <c r="P30" s="260" t="s">
        <v>312</v>
      </c>
    </row>
    <row r="31" spans="1:16" x14ac:dyDescent="0.25">
      <c r="A31" s="219">
        <v>2</v>
      </c>
      <c r="B31" s="248" t="s">
        <v>314</v>
      </c>
      <c r="C31" s="219" t="s">
        <v>348</v>
      </c>
      <c r="D31" s="219" t="s">
        <v>349</v>
      </c>
      <c r="E31" s="219"/>
      <c r="F31" s="219">
        <v>2100</v>
      </c>
      <c r="G31" s="143">
        <v>2100</v>
      </c>
      <c r="H31" s="254">
        <f>Table25791113[[#This Row],[Total Fee]]-Table25791113[[#This Row],[Fee Paid]]</f>
        <v>0</v>
      </c>
      <c r="I31" s="252">
        <f>Table25791113[[#This Row],[Fee Paid]]*75%</f>
        <v>1575</v>
      </c>
      <c r="J31" s="255">
        <f>Table25791113[[#This Row],[Fee Paid]]*25%</f>
        <v>525</v>
      </c>
      <c r="L31" s="261" t="s">
        <v>202</v>
      </c>
      <c r="M31" s="131">
        <f>SUM(G30:G36)</f>
        <v>8700</v>
      </c>
      <c r="N31" s="3"/>
      <c r="O31" s="263"/>
      <c r="P31" s="264">
        <v>0</v>
      </c>
    </row>
    <row r="32" spans="1:16" x14ac:dyDescent="0.25">
      <c r="A32" s="219">
        <v>3</v>
      </c>
      <c r="B32" s="248" t="s">
        <v>315</v>
      </c>
      <c r="C32" s="219" t="s">
        <v>348</v>
      </c>
      <c r="D32" s="219" t="s">
        <v>349</v>
      </c>
      <c r="E32" s="219"/>
      <c r="F32" s="219">
        <v>2100</v>
      </c>
      <c r="G32" s="163">
        <v>2100</v>
      </c>
      <c r="H32" s="254">
        <f>Table25791113[[#This Row],[Total Fee]]-Table25791113[[#This Row],[Fee Paid]]</f>
        <v>0</v>
      </c>
      <c r="I32" s="256">
        <f>Table25791113[[#This Row],[Fee Paid]]*75%</f>
        <v>1575</v>
      </c>
      <c r="J32" s="257">
        <f>Table25791113[[#This Row],[Fee Paid]]*25%</f>
        <v>525</v>
      </c>
      <c r="L32" s="261" t="s">
        <v>203</v>
      </c>
      <c r="M32" s="254">
        <f>SUM(Table25791113[Teacher Share (75%)])</f>
        <v>6525</v>
      </c>
      <c r="N32" s="3"/>
      <c r="O32" s="8"/>
      <c r="P32" s="264">
        <v>0</v>
      </c>
    </row>
    <row r="33" spans="1:16" x14ac:dyDescent="0.25">
      <c r="A33" s="219">
        <v>8</v>
      </c>
      <c r="B33" s="248" t="s">
        <v>329</v>
      </c>
      <c r="C33" s="217" t="s">
        <v>41</v>
      </c>
      <c r="D33" s="217" t="s">
        <v>91</v>
      </c>
      <c r="E33" s="258"/>
      <c r="F33" s="217">
        <v>1000</v>
      </c>
      <c r="G33" s="163">
        <v>1000</v>
      </c>
      <c r="H33" s="259">
        <f>Table25791113[[#This Row],[Total Fee]]-Table25791113[[#This Row],[Fee Paid]]</f>
        <v>0</v>
      </c>
      <c r="I33" s="256">
        <f>Table25791113[[#This Row],[Fee Paid]]*75%</f>
        <v>750</v>
      </c>
      <c r="J33" s="257">
        <f>Table25791113[[#This Row],[Fee Paid]]*25%</f>
        <v>250</v>
      </c>
      <c r="L33" s="261" t="s">
        <v>204</v>
      </c>
      <c r="M33" s="254">
        <f>SUM(Table25791113[Academy Share (25%)])</f>
        <v>2175</v>
      </c>
      <c r="N33" s="3"/>
      <c r="O33" s="263"/>
      <c r="P33" s="264">
        <v>0</v>
      </c>
    </row>
    <row r="34" spans="1:16" x14ac:dyDescent="0.25">
      <c r="A34" s="219">
        <v>9</v>
      </c>
      <c r="B34" s="231" t="s">
        <v>356</v>
      </c>
      <c r="C34" s="217" t="s">
        <v>41</v>
      </c>
      <c r="D34" s="217" t="s">
        <v>350</v>
      </c>
      <c r="E34" s="258"/>
      <c r="F34" s="217">
        <v>1500</v>
      </c>
      <c r="G34" s="163">
        <v>1500</v>
      </c>
      <c r="H34" s="259">
        <f>Table25791113[[#This Row],[Total Fee]]-Table25791113[[#This Row],[Fee Paid]]</f>
        <v>0</v>
      </c>
      <c r="I34" s="256">
        <f>Table25791113[[#This Row],[Fee Paid]]*75%</f>
        <v>1125</v>
      </c>
      <c r="J34" s="257">
        <f>Table25791113[[#This Row],[Fee Paid]]*25%</f>
        <v>375</v>
      </c>
      <c r="L34" s="261" t="s">
        <v>205</v>
      </c>
      <c r="M34" s="254">
        <f>M32+M33</f>
        <v>8700</v>
      </c>
      <c r="N34" s="3"/>
      <c r="O34" s="8"/>
      <c r="P34" s="264">
        <v>0</v>
      </c>
    </row>
    <row r="35" spans="1:16" ht="15.75" thickBot="1" x14ac:dyDescent="0.3">
      <c r="A35" s="219">
        <v>10</v>
      </c>
      <c r="B35" s="231" t="s">
        <v>332</v>
      </c>
      <c r="C35" s="217" t="s">
        <v>41</v>
      </c>
      <c r="D35" s="217" t="s">
        <v>350</v>
      </c>
      <c r="E35" s="258"/>
      <c r="F35" s="217">
        <v>1500</v>
      </c>
      <c r="G35" s="163"/>
      <c r="H35" s="259">
        <f>Table25791113[[#This Row],[Total Fee]]-Table25791113[[#This Row],[Fee Paid]]</f>
        <v>1500</v>
      </c>
      <c r="I35" s="256">
        <f>Table25791113[[#This Row],[Fee Paid]]*75%</f>
        <v>0</v>
      </c>
      <c r="J35" s="257">
        <f>Table25791113[[#This Row],[Fee Paid]]*25%</f>
        <v>0</v>
      </c>
      <c r="L35" s="261" t="s">
        <v>48</v>
      </c>
      <c r="M35" s="254">
        <f>P36</f>
        <v>0</v>
      </c>
      <c r="N35" s="3"/>
      <c r="O35" s="163"/>
      <c r="P35" s="264">
        <v>0</v>
      </c>
    </row>
    <row r="36" spans="1:16" ht="15.75" thickBot="1" x14ac:dyDescent="0.3">
      <c r="A36" s="219">
        <v>11</v>
      </c>
      <c r="B36" s="248" t="s">
        <v>314</v>
      </c>
      <c r="C36" s="217" t="s">
        <v>348</v>
      </c>
      <c r="D36" s="248" t="s">
        <v>349</v>
      </c>
      <c r="E36" s="248"/>
      <c r="F36" s="248">
        <v>2000</v>
      </c>
      <c r="G36" s="38">
        <v>2000</v>
      </c>
      <c r="H36" s="249">
        <f>Table25791113[[#This Row],[Total Fee]]-Table25791113[[#This Row],[Fee Paid]]</f>
        <v>0</v>
      </c>
      <c r="I36" s="250">
        <f>Table25791113[[#This Row],[Fee Paid]]*75%</f>
        <v>1500</v>
      </c>
      <c r="J36" s="251">
        <f>Table25791113[[#This Row],[Fee Paid]]*25%</f>
        <v>500</v>
      </c>
      <c r="L36" s="261" t="s">
        <v>207</v>
      </c>
      <c r="M36" s="254">
        <f>M32-M35</f>
        <v>6525</v>
      </c>
      <c r="N36" s="3"/>
      <c r="O36" s="265" t="s">
        <v>208</v>
      </c>
      <c r="P36" s="267">
        <f>SUM(P30:P35)</f>
        <v>0</v>
      </c>
    </row>
    <row r="38" spans="1:16" x14ac:dyDescent="0.25">
      <c r="L38" s="142"/>
    </row>
    <row r="39" spans="1:16" x14ac:dyDescent="0.25">
      <c r="L39" s="142"/>
    </row>
    <row r="46" spans="1:16" x14ac:dyDescent="0.25">
      <c r="I46" t="s">
        <v>259</v>
      </c>
    </row>
    <row r="47" spans="1:16" x14ac:dyDescent="0.25">
      <c r="I47" s="177" t="s">
        <v>195</v>
      </c>
      <c r="J47" t="s">
        <v>345</v>
      </c>
    </row>
    <row r="49" spans="9:13" x14ac:dyDescent="0.25">
      <c r="I49" s="177" t="s">
        <v>261</v>
      </c>
    </row>
    <row r="50" spans="9:13" x14ac:dyDescent="0.25">
      <c r="I50" s="178" t="s">
        <v>236</v>
      </c>
    </row>
    <row r="51" spans="9:13" x14ac:dyDescent="0.25">
      <c r="I51" s="178" t="s">
        <v>225</v>
      </c>
    </row>
    <row r="52" spans="9:13" x14ac:dyDescent="0.25">
      <c r="I52" s="178" t="s">
        <v>227</v>
      </c>
    </row>
    <row r="53" spans="9:13" x14ac:dyDescent="0.25">
      <c r="I53" s="178" t="s">
        <v>30</v>
      </c>
    </row>
    <row r="54" spans="9:13" x14ac:dyDescent="0.25">
      <c r="I54" s="178" t="s">
        <v>238</v>
      </c>
    </row>
    <row r="55" spans="9:13" x14ac:dyDescent="0.25">
      <c r="I55" s="178" t="s">
        <v>97</v>
      </c>
    </row>
    <row r="56" spans="9:13" x14ac:dyDescent="0.25">
      <c r="I56" s="178" t="s">
        <v>219</v>
      </c>
      <c r="L56" t="s">
        <v>258</v>
      </c>
    </row>
    <row r="57" spans="9:13" x14ac:dyDescent="0.25">
      <c r="I57" s="178" t="s">
        <v>229</v>
      </c>
      <c r="L57" s="177" t="s">
        <v>195</v>
      </c>
      <c r="M57" t="s">
        <v>260</v>
      </c>
    </row>
    <row r="58" spans="9:13" x14ac:dyDescent="0.25">
      <c r="I58" s="178" t="s">
        <v>231</v>
      </c>
    </row>
    <row r="59" spans="9:13" x14ac:dyDescent="0.25">
      <c r="I59" s="178" t="s">
        <v>184</v>
      </c>
      <c r="L59" s="177" t="s">
        <v>261</v>
      </c>
    </row>
    <row r="60" spans="9:13" x14ac:dyDescent="0.25">
      <c r="I60" s="178" t="s">
        <v>92</v>
      </c>
      <c r="L60" s="178" t="s">
        <v>255</v>
      </c>
    </row>
    <row r="61" spans="9:13" x14ac:dyDescent="0.25">
      <c r="I61" s="178" t="s">
        <v>262</v>
      </c>
      <c r="L61" s="178" t="s">
        <v>262</v>
      </c>
    </row>
  </sheetData>
  <mergeCells count="9">
    <mergeCell ref="B26:I27"/>
    <mergeCell ref="B2:I4"/>
    <mergeCell ref="L6:M6"/>
    <mergeCell ref="O6:P6"/>
    <mergeCell ref="L29:M29"/>
    <mergeCell ref="O29:P29"/>
    <mergeCell ref="J26:J27"/>
    <mergeCell ref="J2:J4"/>
    <mergeCell ref="R6:T6"/>
  </mergeCells>
  <conditionalFormatting sqref="G7:G23">
    <cfRule type="cellIs" dxfId="3" priority="6" operator="lessThan">
      <formula>500</formula>
    </cfRule>
  </conditionalFormatting>
  <conditionalFormatting sqref="G36">
    <cfRule type="cellIs" dxfId="2" priority="2" operator="lessThan">
      <formula>500</formula>
    </cfRule>
  </conditionalFormatting>
  <conditionalFormatting sqref="H7:H23 H30:H36">
    <cfRule type="cellIs" dxfId="1" priority="3" operator="equal">
      <formula>0</formula>
    </cfRule>
  </conditionalFormatting>
  <conditionalFormatting sqref="H7:H25 H30:H36">
    <cfRule type="cellIs" dxfId="0" priority="5" operator="greaterThan">
      <formula>0</formula>
    </cfRule>
  </conditionalFormatting>
  <dataValidations count="3">
    <dataValidation type="list" allowBlank="1" showInputMessage="1" showErrorMessage="1" sqref="D30:D36 D7:D23" xr:uid="{E78B3AA8-211F-4224-8EF2-54CBD42BBFCD}">
      <formula1>$R$7:$R$11</formula1>
    </dataValidation>
    <dataValidation type="list" allowBlank="1" showInputMessage="1" showErrorMessage="1" sqref="C30:C36" xr:uid="{695BB9E6-E473-4E80-9BC4-119B690CDAC7}">
      <formula1>$T$7:$T$12</formula1>
    </dataValidation>
    <dataValidation type="list" allowBlank="1" showInputMessage="1" showErrorMessage="1" sqref="C7:C23" xr:uid="{72E35473-7A82-4358-8992-A9C16E09177E}">
      <formula1>$S$7:$S$11</formula1>
    </dataValidation>
  </dataValidations>
  <pageMargins left="0.7" right="0.7" top="0.75" bottom="0.75" header="0.3" footer="0.3"/>
  <pageSetup orientation="landscape"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12</vt:lpstr>
      <vt:lpstr>01</vt:lpstr>
      <vt:lpstr>Feb 26</vt:lpstr>
      <vt:lpstr>MArch</vt:lpstr>
      <vt:lpstr>apr</vt:lpstr>
      <vt:lpstr>may</vt:lpstr>
      <vt:lpstr>june</vt:lpstr>
      <vt:lpstr>july</vt:lpstr>
      <vt:lpstr>August</vt:lpstr>
      <vt:lpstr>Sep</vt:lpstr>
      <vt:lpstr>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MHC</dc:creator>
  <cp:keywords/>
  <dc:description/>
  <cp:lastModifiedBy>ASDI ATD</cp:lastModifiedBy>
  <cp:revision/>
  <cp:lastPrinted>2026-09-30T13:01:47Z</cp:lastPrinted>
  <dcterms:created xsi:type="dcterms:W3CDTF">2025-12-10T07:07:25Z</dcterms:created>
  <dcterms:modified xsi:type="dcterms:W3CDTF">2026-10-16T06:23:15Z</dcterms:modified>
  <cp:category/>
  <cp:contentStatus/>
</cp:coreProperties>
</file>