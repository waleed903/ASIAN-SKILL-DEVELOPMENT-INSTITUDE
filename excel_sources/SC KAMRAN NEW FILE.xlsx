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https://d.docs.live.net/1a1f9411706e7a40/RECORDS!!/"/>
    </mc:Choice>
  </mc:AlternateContent>
  <xr:revisionPtr revIDLastSave="0" documentId="10_ncr:8000_{35B4751D-9A7E-4E65-B70A-83EF3B581CD8}" xr6:coauthVersionLast="47" xr6:coauthVersionMax="47" xr10:uidLastSave="{00000000-0000-0000-0000-000000000000}"/>
  <bookViews>
    <workbookView xWindow="2415" yWindow="2415" windowWidth="13740" windowHeight="10380" xr2:uid="{E123C4D0-7ABF-40E6-B5BD-D5C76FC76A3B}"/>
  </bookViews>
  <sheets>
    <sheet name="FALL 2026" sheetId="1" r:id="rId1"/>
  </sheets>
  <definedNames>
    <definedName name="Slicer_Status">#N/A</definedName>
    <definedName name="Slicer_Status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9" i="1" l="1"/>
  <c r="H5" i="1" s="1"/>
  <c r="H10" i="1"/>
  <c r="B29" i="1"/>
  <c r="B19" i="1"/>
  <c r="F19" i="1"/>
  <c r="E19" i="1"/>
  <c r="F29" i="1"/>
  <c r="E29" i="1"/>
  <c r="H28" i="1"/>
  <c r="G27" i="1"/>
  <c r="G28" i="1"/>
  <c r="J29" i="1"/>
  <c r="H18" i="1"/>
  <c r="G18" i="1"/>
  <c r="H25" i="1"/>
  <c r="H26" i="1"/>
  <c r="H27" i="1"/>
  <c r="G25" i="1"/>
  <c r="G26" i="1"/>
  <c r="G15" i="1"/>
  <c r="H15" i="1"/>
  <c r="H24" i="1"/>
  <c r="G24" i="1"/>
  <c r="H17" i="1"/>
  <c r="G17" i="1"/>
  <c r="H16" i="1"/>
  <c r="G16" i="1"/>
  <c r="H14" i="1"/>
  <c r="G14" i="1"/>
  <c r="H13" i="1"/>
  <c r="G13" i="1"/>
  <c r="H12" i="1"/>
  <c r="G12" i="1"/>
  <c r="H11" i="1"/>
  <c r="G11" i="1"/>
  <c r="G10" i="1"/>
  <c r="B5" i="1" l="1"/>
  <c r="A5" i="1"/>
  <c r="C5" i="1" s="1"/>
  <c r="G29" i="1"/>
  <c r="G19" i="1"/>
  <c r="D5" i="1"/>
  <c r="J5" i="1" s="1"/>
  <c r="F5" i="1"/>
</calcChain>
</file>

<file path=xl/sharedStrings.xml><?xml version="1.0" encoding="utf-8"?>
<sst xmlns="http://schemas.openxmlformats.org/spreadsheetml/2006/main" count="62" uniqueCount="37">
  <si>
    <t>TOTAL FEE</t>
  </si>
  <si>
    <t>FEE RECEIVED</t>
  </si>
  <si>
    <t>OUTSTANDING</t>
  </si>
  <si>
    <t>TEACHER SHARE</t>
  </si>
  <si>
    <t>ACADEMY SHARE</t>
  </si>
  <si>
    <t>TEACHER PAID</t>
  </si>
  <si>
    <t>Teacher Remaining</t>
  </si>
  <si>
    <t>Payments</t>
  </si>
  <si>
    <t xml:space="preserve">  </t>
  </si>
  <si>
    <t>S.No</t>
  </si>
  <si>
    <t>Student Name</t>
  </si>
  <si>
    <t>Father's Name</t>
  </si>
  <si>
    <t>Subject</t>
  </si>
  <si>
    <t>Total Fee</t>
  </si>
  <si>
    <t>Paid</t>
  </si>
  <si>
    <t>Balance</t>
  </si>
  <si>
    <t>Status</t>
  </si>
  <si>
    <t>Contact</t>
  </si>
  <si>
    <t>Next Date</t>
  </si>
  <si>
    <t>Date of Payment</t>
  </si>
  <si>
    <t>Amount of payment</t>
  </si>
  <si>
    <t>Total</t>
  </si>
  <si>
    <t xml:space="preserve">MOHEEN </t>
  </si>
  <si>
    <t>PERVAIZ AKHTAR</t>
  </si>
  <si>
    <t>SAMEER</t>
  </si>
  <si>
    <t>TALHA</t>
  </si>
  <si>
    <t>MUHAMMAD AYAN</t>
  </si>
  <si>
    <t>MUHAMMAD SHABEER</t>
  </si>
  <si>
    <t>MAZHAR</t>
  </si>
  <si>
    <t>HUSNAIN</t>
  </si>
  <si>
    <t>HASSAN</t>
  </si>
  <si>
    <t>TUITION</t>
  </si>
  <si>
    <t>SHORT COURSE CLASS — M. KAMRAN        (FALL 2026)</t>
  </si>
  <si>
    <t>Timing: 01:00     05:00  |  Teacher: Sir KAMRAN</t>
  </si>
  <si>
    <t>SHORT COURSE</t>
  </si>
  <si>
    <t>TUITION CLASSES</t>
  </si>
  <si>
    <t>HAMZA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</si>
</sst>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s&quot;* #,##0.00_-;\-&quot;Rs&quot;* #,##0.00_-;_-&quot;Rs&quot;* &quot;-&quot;??_-;_-@_-"/>
    <numFmt numFmtId="43" formatCode="_-* #,##0.00_-;\-* #,##0.00_-;_-* &quot;-&quot;??_-;_-@_-"/>
  </numFmts>
  <fonts count="19"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Calibri"/>
      <family val="2"/>
      <charset val="1"/>
    </font>
    <font>
      <b/>
      <i/>
      <u/>
      <sz val="36"/>
      <color theme="0"/>
      <name val="Arial"/>
      <family val="2"/>
    </font>
    <font>
      <b/>
      <sz val="12"/>
      <color theme="1"/>
      <name val="Aptos Narrow"/>
      <family val="2"/>
      <scheme val="minor"/>
    </font>
    <font>
      <b/>
      <sz val="8"/>
      <color theme="0"/>
      <name val="Arial"/>
      <family val="2"/>
    </font>
    <font>
      <b/>
      <sz val="9"/>
      <color theme="0"/>
      <name val="Arial"/>
      <family val="2"/>
    </font>
    <font>
      <b/>
      <sz val="12"/>
      <color theme="0"/>
      <name val="Arial"/>
      <family val="2"/>
    </font>
    <font>
      <b/>
      <sz val="11"/>
      <color theme="0"/>
      <name val="Arial"/>
      <family val="2"/>
    </font>
    <font>
      <sz val="11"/>
      <color theme="0"/>
      <name val="Calibri"/>
      <family val="2"/>
      <charset val="1"/>
    </font>
    <font>
      <b/>
      <sz val="10"/>
      <color rgb="FFFFFFFF"/>
      <name val="Arial"/>
      <family val="2"/>
    </font>
    <font>
      <b/>
      <sz val="10"/>
      <color rgb="FF1A1A2E"/>
      <name val="Arial"/>
      <family val="2"/>
    </font>
    <font>
      <b/>
      <sz val="10"/>
      <color rgb="FFFFD97D"/>
      <name val="Arial"/>
      <family val="2"/>
    </font>
    <font>
      <b/>
      <i/>
      <u/>
      <sz val="28"/>
      <color theme="0"/>
      <name val="Arial"/>
      <family val="2"/>
    </font>
    <font>
      <i/>
      <sz val="10"/>
      <color theme="0"/>
      <name val="Arial"/>
      <family val="2"/>
    </font>
    <font>
      <b/>
      <sz val="18"/>
      <color theme="6"/>
      <name val="Calibri"/>
      <family val="2"/>
    </font>
    <font>
      <b/>
      <sz val="20"/>
      <color theme="6"/>
      <name val="Calibri"/>
      <family val="2"/>
    </font>
    <font>
      <sz val="18"/>
      <color theme="0"/>
      <name val="Calibri"/>
      <family val="2"/>
    </font>
  </fonts>
  <fills count="13">
    <fill>
      <patternFill patternType="none"/>
    </fill>
    <fill>
      <patternFill patternType="gray125"/>
    </fill>
    <fill>
      <patternFill patternType="solid">
        <fgColor rgb="FF1A4A5C"/>
        <bgColor rgb="FF1A3A5C"/>
      </patternFill>
    </fill>
    <fill>
      <patternFill patternType="solid">
        <fgColor rgb="FF145C3A"/>
        <bgColor rgb="FF1A4A5C"/>
      </patternFill>
    </fill>
    <fill>
      <patternFill patternType="solid">
        <fgColor rgb="FF5C1A1A"/>
        <bgColor rgb="FF800000"/>
      </patternFill>
    </fill>
    <fill>
      <patternFill patternType="solid">
        <fgColor theme="4"/>
        <bgColor rgb="FF203A43"/>
      </patternFill>
    </fill>
    <fill>
      <patternFill patternType="solid">
        <fgColor theme="2" tint="-0.499984740745262"/>
        <bgColor rgb="FF203A43"/>
      </patternFill>
    </fill>
    <fill>
      <patternFill patternType="solid">
        <fgColor theme="4"/>
        <bgColor indexed="64"/>
      </patternFill>
    </fill>
    <fill>
      <patternFill patternType="solid">
        <fgColor theme="2" tint="-0.499984740745262"/>
        <bgColor indexed="64"/>
      </patternFill>
    </fill>
    <fill>
      <patternFill patternType="solid">
        <fgColor rgb="FFF0F8FF"/>
        <bgColor rgb="FFEEF6FA"/>
      </patternFill>
    </fill>
    <fill>
      <patternFill patternType="solid">
        <fgColor theme="6" tint="-0.499984740745262"/>
        <bgColor rgb="FF1A1A2E"/>
      </patternFill>
    </fill>
    <fill>
      <patternFill patternType="solid">
        <fgColor theme="6" tint="-0.499984740745262"/>
        <bgColor rgb="FF1A3A5C"/>
      </patternFill>
    </fill>
    <fill>
      <patternFill patternType="solid">
        <fgColor theme="9" tint="-0.499984740745262"/>
        <bgColor rgb="FF1A3A5C"/>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theme="3"/>
      </right>
      <top style="thin">
        <color theme="3"/>
      </top>
      <bottom/>
      <diagonal/>
    </border>
    <border>
      <left style="thin">
        <color theme="3"/>
      </left>
      <right style="thin">
        <color theme="3"/>
      </right>
      <top style="thin">
        <color theme="3"/>
      </top>
      <bottom/>
      <diagonal/>
    </border>
    <border>
      <left/>
      <right style="thin">
        <color rgb="FFB0C4D8"/>
      </right>
      <top style="thin">
        <color theme="3"/>
      </top>
      <bottom/>
      <diagonal/>
    </border>
    <border>
      <left style="thin">
        <color rgb="FFB0C4D8"/>
      </left>
      <right style="thin">
        <color rgb="FFB0C4D8"/>
      </right>
      <top style="thin">
        <color theme="3"/>
      </top>
      <bottom/>
      <diagonal/>
    </border>
    <border>
      <left style="thin">
        <color rgb="FFB0C4D8"/>
      </left>
      <right style="thin">
        <color theme="3"/>
      </right>
      <top style="thin">
        <color theme="3"/>
      </top>
      <bottom/>
      <diagonal/>
    </border>
    <border>
      <left style="thin">
        <color theme="3"/>
      </left>
      <right style="thin">
        <color theme="3"/>
      </right>
      <top style="thin">
        <color rgb="FFB0C4D8"/>
      </top>
      <bottom/>
      <diagonal/>
    </border>
    <border>
      <left/>
      <right/>
      <top style="thin">
        <color rgb="FFB0C4D8"/>
      </top>
      <bottom/>
      <diagonal/>
    </border>
    <border>
      <left/>
      <right style="thin">
        <color theme="3"/>
      </right>
      <top style="thin">
        <color rgb="FFB0C4D8"/>
      </top>
      <bottom/>
      <diagonal/>
    </border>
    <border>
      <left style="thin">
        <color theme="6"/>
      </left>
      <right style="thin">
        <color theme="6"/>
      </right>
      <top style="thin">
        <color theme="6"/>
      </top>
      <bottom style="thin">
        <color theme="6"/>
      </bottom>
      <diagonal/>
    </border>
    <border>
      <left style="thin">
        <color theme="6"/>
      </left>
      <right style="thin">
        <color theme="3"/>
      </right>
      <top style="thin">
        <color theme="6"/>
      </top>
      <bottom style="thin">
        <color theme="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3"/>
      </bottom>
      <diagonal/>
    </border>
    <border>
      <left style="thin">
        <color theme="6"/>
      </left>
      <right/>
      <top style="thin">
        <color theme="6"/>
      </top>
      <bottom style="thin">
        <color theme="6"/>
      </bottom>
      <diagonal/>
    </border>
    <border>
      <left style="thin">
        <color theme="3"/>
      </left>
      <right style="thin">
        <color theme="6"/>
      </right>
      <top style="thin">
        <color theme="6"/>
      </top>
      <bottom/>
      <diagonal/>
    </border>
  </borders>
  <cellStyleXfs count="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0"/>
  </cellStyleXfs>
  <cellXfs count="54">
    <xf numFmtId="0" fontId="0" fillId="0" borderId="0" xfId="0"/>
    <xf numFmtId="0" fontId="3" fillId="0" borderId="0" xfId="3"/>
    <xf numFmtId="0" fontId="5" fillId="0" borderId="0" xfId="2" applyFont="1" applyAlignment="1">
      <alignment horizontal="center" vertical="center"/>
    </xf>
    <xf numFmtId="0" fontId="6" fillId="2" borderId="1" xfId="3" applyFont="1" applyFill="1" applyBorder="1" applyAlignment="1">
      <alignment horizontal="center" vertical="center" wrapText="1"/>
    </xf>
    <xf numFmtId="0" fontId="6" fillId="3" borderId="1" xfId="3" applyFont="1" applyFill="1" applyBorder="1" applyAlignment="1">
      <alignment horizontal="center" vertical="center" wrapText="1"/>
    </xf>
    <xf numFmtId="0" fontId="6" fillId="4" borderId="1" xfId="3" applyFont="1" applyFill="1" applyBorder="1" applyAlignment="1">
      <alignment horizontal="center" vertical="center" wrapText="1"/>
    </xf>
    <xf numFmtId="0" fontId="7" fillId="6" borderId="1" xfId="3" applyFont="1" applyFill="1" applyBorder="1" applyAlignment="1">
      <alignment horizontal="center" vertical="center"/>
    </xf>
    <xf numFmtId="44" fontId="8" fillId="2" borderId="1" xfId="1" applyFont="1" applyFill="1" applyBorder="1" applyAlignment="1">
      <alignment horizontal="center" vertical="center" wrapText="1"/>
    </xf>
    <xf numFmtId="44" fontId="8" fillId="3" borderId="1" xfId="1" applyFont="1" applyFill="1" applyBorder="1" applyAlignment="1">
      <alignment horizontal="center" vertical="center" wrapText="1"/>
    </xf>
    <xf numFmtId="43" fontId="8" fillId="4" borderId="1" xfId="3" applyNumberFormat="1" applyFont="1" applyFill="1" applyBorder="1" applyAlignment="1">
      <alignment horizontal="center" vertical="center" wrapText="1"/>
    </xf>
    <xf numFmtId="44" fontId="9" fillId="8" borderId="1" xfId="1" applyFont="1" applyFill="1" applyBorder="1" applyAlignment="1">
      <alignment horizontal="center"/>
    </xf>
    <xf numFmtId="0" fontId="10" fillId="0" borderId="0" xfId="3" applyFont="1"/>
    <xf numFmtId="0" fontId="0" fillId="0" borderId="10" xfId="0" applyBorder="1"/>
    <xf numFmtId="0" fontId="12" fillId="9" borderId="10" xfId="3" applyFont="1" applyFill="1" applyBorder="1" applyAlignment="1">
      <alignment horizontal="center" vertical="center" wrapText="1"/>
    </xf>
    <xf numFmtId="0" fontId="11" fillId="11" borderId="2" xfId="3" applyFont="1" applyFill="1" applyBorder="1" applyAlignment="1">
      <alignment horizontal="center" vertical="center" wrapText="1"/>
    </xf>
    <xf numFmtId="0" fontId="11" fillId="11" borderId="3" xfId="3" applyFont="1" applyFill="1" applyBorder="1" applyAlignment="1">
      <alignment horizontal="center" vertical="center" wrapText="1"/>
    </xf>
    <xf numFmtId="0" fontId="11" fillId="11" borderId="4" xfId="3" applyFont="1" applyFill="1" applyBorder="1" applyAlignment="1">
      <alignment horizontal="center" vertical="center" wrapText="1"/>
    </xf>
    <xf numFmtId="0" fontId="11" fillId="11" borderId="5" xfId="3" applyFont="1" applyFill="1" applyBorder="1" applyAlignment="1">
      <alignment horizontal="center" vertical="center" wrapText="1"/>
    </xf>
    <xf numFmtId="0" fontId="11" fillId="11" borderId="6" xfId="3" applyFont="1" applyFill="1" applyBorder="1" applyAlignment="1">
      <alignment horizontal="center" vertical="center" wrapText="1"/>
    </xf>
    <xf numFmtId="0" fontId="11" fillId="11" borderId="7" xfId="3" applyFont="1" applyFill="1" applyBorder="1" applyAlignment="1">
      <alignment horizontal="center" vertical="center" wrapText="1"/>
    </xf>
    <xf numFmtId="0" fontId="11" fillId="11" borderId="8" xfId="3" applyFont="1" applyFill="1" applyBorder="1" applyAlignment="1">
      <alignment horizontal="center" vertical="center" wrapText="1"/>
    </xf>
    <xf numFmtId="0" fontId="11" fillId="11" borderId="9" xfId="3" applyFont="1" applyFill="1" applyBorder="1" applyAlignment="1">
      <alignment horizontal="center" vertical="center" wrapText="1"/>
    </xf>
    <xf numFmtId="44" fontId="0" fillId="0" borderId="10" xfId="0" applyNumberFormat="1" applyBorder="1"/>
    <xf numFmtId="16" fontId="0" fillId="0" borderId="11" xfId="0" applyNumberFormat="1" applyBorder="1"/>
    <xf numFmtId="0" fontId="0" fillId="0" borderId="15" xfId="0" applyBorder="1"/>
    <xf numFmtId="0" fontId="10" fillId="0" borderId="0" xfId="3" applyFont="1" applyAlignment="1">
      <alignment horizontal="center"/>
    </xf>
    <xf numFmtId="0" fontId="10" fillId="0" borderId="14" xfId="3" applyFont="1" applyBorder="1"/>
    <xf numFmtId="0" fontId="0" fillId="0" borderId="0" xfId="0" applyAlignment="1">
      <alignment horizontal="center"/>
    </xf>
    <xf numFmtId="44" fontId="0" fillId="0" borderId="10" xfId="0" applyNumberFormat="1" applyBorder="1" applyAlignment="1">
      <alignment vertical="center"/>
    </xf>
    <xf numFmtId="0" fontId="0" fillId="0" borderId="10" xfId="0" applyBorder="1" applyAlignment="1">
      <alignment horizontal="center" vertical="center"/>
    </xf>
    <xf numFmtId="0" fontId="3" fillId="0" borderId="0" xfId="3" applyAlignment="1">
      <alignment horizontal="center"/>
    </xf>
    <xf numFmtId="0" fontId="0" fillId="0" borderId="10" xfId="0" applyBorder="1" applyAlignment="1">
      <alignment horizontal="center"/>
    </xf>
    <xf numFmtId="0" fontId="13" fillId="11" borderId="10" xfId="0" applyFont="1" applyFill="1" applyBorder="1" applyAlignment="1">
      <alignment horizontal="center" vertical="center"/>
    </xf>
    <xf numFmtId="0" fontId="13" fillId="11" borderId="16" xfId="0" applyFont="1" applyFill="1" applyBorder="1" applyAlignment="1">
      <alignment horizontal="center" vertical="center"/>
    </xf>
    <xf numFmtId="44" fontId="13" fillId="11" borderId="16" xfId="0" applyNumberFormat="1" applyFont="1" applyFill="1" applyBorder="1" applyAlignment="1">
      <alignment horizontal="center" vertical="center"/>
    </xf>
    <xf numFmtId="44" fontId="13" fillId="11" borderId="10" xfId="0" applyNumberFormat="1" applyFont="1" applyFill="1" applyBorder="1" applyAlignment="1">
      <alignment horizontal="center" vertical="center"/>
    </xf>
    <xf numFmtId="44" fontId="11" fillId="11" borderId="9" xfId="3" applyNumberFormat="1" applyFont="1" applyFill="1" applyBorder="1" applyAlignment="1">
      <alignment horizontal="center" vertical="center" wrapText="1"/>
    </xf>
    <xf numFmtId="0" fontId="17" fillId="0" borderId="10" xfId="3" applyFont="1" applyBorder="1" applyAlignment="1">
      <alignment horizontal="center"/>
    </xf>
    <xf numFmtId="0" fontId="10" fillId="0" borderId="10" xfId="3" applyFont="1" applyBorder="1" applyAlignment="1">
      <alignment horizontal="center"/>
    </xf>
    <xf numFmtId="0" fontId="16" fillId="0" borderId="10" xfId="3" applyFont="1" applyBorder="1" applyAlignment="1">
      <alignment horizontal="center" vertical="center"/>
    </xf>
    <xf numFmtId="0" fontId="18" fillId="0" borderId="10" xfId="3" applyFont="1" applyBorder="1" applyAlignment="1">
      <alignment horizontal="center" vertical="center"/>
    </xf>
    <xf numFmtId="0" fontId="4" fillId="10" borderId="0" xfId="3" applyFont="1" applyFill="1" applyAlignment="1">
      <alignment horizontal="center" vertical="center" wrapText="1"/>
    </xf>
    <xf numFmtId="0" fontId="15" fillId="12" borderId="0" xfId="3" applyFont="1" applyFill="1" applyAlignment="1">
      <alignment horizontal="center" vertical="center" wrapText="1"/>
    </xf>
    <xf numFmtId="0" fontId="14" fillId="10" borderId="0" xfId="3" applyFont="1" applyFill="1" applyAlignment="1">
      <alignment horizontal="center" vertical="center" wrapText="1"/>
    </xf>
    <xf numFmtId="44" fontId="8" fillId="3" borderId="12" xfId="1" applyFont="1" applyFill="1" applyBorder="1" applyAlignment="1">
      <alignment horizontal="center" vertical="center" wrapText="1"/>
    </xf>
    <xf numFmtId="44" fontId="8" fillId="3" borderId="13" xfId="1" applyFont="1" applyFill="1" applyBorder="1" applyAlignment="1">
      <alignment horizontal="center" vertical="center" wrapText="1"/>
    </xf>
    <xf numFmtId="44" fontId="8" fillId="2" borderId="12" xfId="3" applyNumberFormat="1" applyFont="1" applyFill="1" applyBorder="1" applyAlignment="1">
      <alignment horizontal="center" vertical="center" wrapText="1"/>
    </xf>
    <xf numFmtId="44" fontId="8" fillId="2" borderId="13" xfId="3" applyNumberFormat="1" applyFont="1" applyFill="1" applyBorder="1" applyAlignment="1">
      <alignment horizontal="center" vertical="center" wrapText="1"/>
    </xf>
    <xf numFmtId="44" fontId="8" fillId="7" borderId="1" xfId="0" applyNumberFormat="1" applyFont="1" applyFill="1" applyBorder="1" applyAlignment="1">
      <alignment horizontal="center" vertical="center"/>
    </xf>
    <xf numFmtId="0" fontId="6" fillId="3" borderId="12" xfId="3" applyFont="1" applyFill="1" applyBorder="1" applyAlignment="1">
      <alignment horizontal="center" vertical="center" wrapText="1"/>
    </xf>
    <xf numFmtId="0" fontId="6" fillId="3" borderId="13" xfId="3" applyFont="1" applyFill="1" applyBorder="1" applyAlignment="1">
      <alignment horizontal="center" vertical="center" wrapText="1"/>
    </xf>
    <xf numFmtId="0" fontId="6" fillId="2" borderId="12" xfId="3" applyFont="1" applyFill="1" applyBorder="1" applyAlignment="1">
      <alignment horizontal="center" vertical="center" wrapText="1"/>
    </xf>
    <xf numFmtId="0" fontId="6" fillId="2" borderId="13" xfId="3" applyFont="1" applyFill="1" applyBorder="1" applyAlignment="1">
      <alignment horizontal="center" vertical="center" wrapText="1"/>
    </xf>
    <xf numFmtId="0" fontId="6" fillId="5" borderId="1" xfId="3" applyFont="1" applyFill="1" applyBorder="1" applyAlignment="1">
      <alignment horizontal="center" vertical="center" wrapText="1"/>
    </xf>
  </cellXfs>
  <cellStyles count="4">
    <cellStyle name="Currency" xfId="1" builtinId="4"/>
    <cellStyle name="Hyperlink" xfId="2" builtinId="8"/>
    <cellStyle name="Normal" xfId="0" builtinId="0"/>
    <cellStyle name="Normal 2" xfId="3" xr:uid="{C2F8F02F-EB01-4A5E-B3AF-2454A7396F17}"/>
  </cellStyles>
  <dxfs count="53">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border diagonalUp="0" diagonalDown="0">
        <left style="thin">
          <color theme="6"/>
        </left>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i val="0"/>
        <strike val="0"/>
        <condense val="0"/>
        <extend val="0"/>
        <outline val="0"/>
        <shadow val="0"/>
        <u val="none"/>
        <vertAlign val="baseline"/>
        <sz val="10"/>
        <color rgb="FF1A1A2E"/>
        <name val="Arial"/>
        <family val="2"/>
        <scheme val="none"/>
      </font>
      <numFmt numFmtId="0" formatCode="General"/>
      <fill>
        <patternFill patternType="solid">
          <fgColor rgb="FFEEF6FA"/>
          <bgColor rgb="FFF0F8FF"/>
        </patternFill>
      </fill>
      <alignment horizontal="center"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numFmt numFmtId="34" formatCode="_-&quot;Rs&quot;* #,##0.00_-;\-&quot;Rs&quot;* #,##0.00_-;_-&quot;Rs&quot;* &quot;-&quot;??_-;_-@_-"/>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numFmt numFmtId="34" formatCode="_-&quot;Rs&quot;* #,##0.00_-;\-&quot;Rs&quot;* #,##0.00_-;_-&quot;Rs&quot;* &quot;-&quot;??_-;_-@_-"/>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numFmt numFmtId="34" formatCode="_-&quot;Rs&quot;* #,##0.00_-;\-&quot;Rs&quot;* #,##0.00_-;_-&quot;Rs&quot;* &quot;-&quot;??_-;_-@_-"/>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alignment horizontal="center" textRotation="0" indent="0" justifyLastLine="0" shrinkToFit="0" readingOrder="0"/>
      <border diagonalUp="0" diagonalDown="0" outline="0">
        <left style="thin">
          <color theme="6"/>
        </left>
        <right style="thin">
          <color theme="6"/>
        </right>
        <top style="thin">
          <color theme="6"/>
        </top>
        <bottom style="thin">
          <color theme="6"/>
        </bottom>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3"/>
        </left>
        <right style="thin">
          <color theme="6"/>
        </right>
        <top style="thin">
          <color theme="6"/>
        </top>
        <bottom/>
      </border>
    </dxf>
    <dxf>
      <font>
        <b val="0"/>
        <i val="0"/>
        <strike val="0"/>
        <condense val="0"/>
        <extend val="0"/>
        <outline val="0"/>
        <shadow val="0"/>
        <u val="none"/>
        <vertAlign val="baseline"/>
        <sz val="11"/>
        <color theme="1"/>
        <name val="Aptos Narrow"/>
        <family val="2"/>
        <scheme val="minor"/>
      </font>
      <border diagonalUp="0" diagonalDown="0">
        <left style="thin">
          <color theme="6"/>
        </left>
        <right style="thin">
          <color theme="6"/>
        </right>
        <top style="thin">
          <color theme="6"/>
        </top>
        <bottom style="thin">
          <color theme="6"/>
        </bottom>
        <vertical/>
        <horizontal/>
      </border>
    </dxf>
    <dxf>
      <border outline="0">
        <top style="thin">
          <color theme="6"/>
        </top>
      </border>
    </dxf>
    <dxf>
      <font>
        <b/>
        <i val="0"/>
        <strike val="0"/>
        <condense val="0"/>
        <extend val="0"/>
        <outline val="0"/>
        <shadow val="0"/>
        <u val="none"/>
        <vertAlign val="baseline"/>
        <sz val="10"/>
        <color rgb="FFFFD97D"/>
        <name val="Arial"/>
        <family val="2"/>
        <scheme val="none"/>
      </font>
      <numFmt numFmtId="0" formatCode="General"/>
      <fill>
        <patternFill patternType="solid">
          <fgColor rgb="FF1A3A5C"/>
          <bgColor theme="6" tint="-0.499984740745262"/>
        </patternFill>
      </fill>
      <alignment horizontal="center" vertical="center" textRotation="0" wrapText="0" indent="0" justifyLastLine="0" shrinkToFit="0" readingOrder="0"/>
    </dxf>
    <dxf>
      <border outline="0">
        <right style="thin">
          <color theme="3"/>
        </right>
        <bottom style="thin">
          <color theme="3"/>
        </bottom>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numFmt numFmtId="30" formatCode="@"/>
      <fill>
        <patternFill patternType="solid">
          <fgColor rgb="FFF0F8FF"/>
          <bgColor rgb="FFFFFFFF"/>
        </patternFill>
      </fill>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numFmt numFmtId="34" formatCode="_-&quot;Rs&quot;* #,##0.00_-;\-&quot;Rs&quot;* #,##0.00_-;_-&quot;Rs&quot;* &quot;-&quot;??_-;_-@_-"/>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alignment horizontal="center" textRotation="0" indent="0" justifyLastLine="0" shrinkToFit="0" readingOrder="0"/>
      <border diagonalUp="0" diagonalDown="0" outline="0">
        <left style="thin">
          <color theme="6"/>
        </left>
        <right style="thin">
          <color theme="6"/>
        </right>
        <top style="thin">
          <color theme="6"/>
        </top>
        <bottom style="thin">
          <color theme="6"/>
        </bottom>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style="thin">
          <color theme="6"/>
        </top>
        <bottom style="thin">
          <color theme="6"/>
        </bottom>
      </border>
    </dxf>
    <dxf>
      <border diagonalUp="0" diagonalDown="0">
        <left style="thin">
          <color theme="6"/>
        </left>
        <right style="thin">
          <color theme="6"/>
        </right>
        <top style="thin">
          <color theme="6"/>
        </top>
        <bottom style="thin">
          <color theme="6"/>
        </bottom>
        <vertical style="thin">
          <color theme="6"/>
        </vertical>
        <horizontal style="thin">
          <color theme="6"/>
        </horizontal>
      </border>
    </dxf>
    <dxf>
      <border outline="0">
        <top style="thin">
          <color theme="6"/>
        </top>
      </border>
    </dxf>
    <dxf>
      <font>
        <b/>
        <i val="0"/>
        <strike val="0"/>
        <condense val="0"/>
        <extend val="0"/>
        <outline val="0"/>
        <shadow val="0"/>
        <u val="none"/>
        <vertAlign val="baseline"/>
        <sz val="10"/>
        <color rgb="FFFFD97D"/>
        <name val="Arial"/>
        <family val="2"/>
        <scheme val="none"/>
      </font>
      <fill>
        <patternFill patternType="solid">
          <fgColor rgb="FF1A3A5C"/>
          <bgColor theme="6" tint="-0.499984740745262"/>
        </patternFill>
      </fill>
      <alignment horizontal="center" vertical="center" textRotation="0" wrapText="0" indent="0" justifyLastLine="0" shrinkToFit="0" readingOrder="0"/>
      <border diagonalUp="0" diagonalDown="0" outline="0">
        <left style="thin">
          <color theme="6"/>
        </left>
        <right style="thin">
          <color theme="6"/>
        </right>
        <top/>
        <bottom/>
      </border>
    </dxf>
    <dxf>
      <border outline="0">
        <left style="thin">
          <color theme="3"/>
        </left>
        <right style="thin">
          <color theme="3"/>
        </right>
        <bottom style="thin">
          <color theme="3"/>
        </bottom>
      </border>
    </dxf>
    <dxf>
      <fill>
        <patternFill patternType="solid">
          <fgColor rgb="FF1A3A5C"/>
          <bgColor theme="6" tint="-0.499984740745262"/>
        </patternFill>
      </fill>
    </dxf>
  </dxfs>
  <tableStyles count="0" defaultTableStyle="TableStyleMedium2" defaultPivotStyle="PivotStyleLight16"/>
  <colors>
    <mruColors>
      <color rgb="FFE5FB15"/>
      <color rgb="FFFFFF66"/>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13</xdr:col>
      <xdr:colOff>89646</xdr:colOff>
      <xdr:row>1</xdr:row>
      <xdr:rowOff>33618</xdr:rowOff>
    </xdr:from>
    <xdr:to>
      <xdr:col>15</xdr:col>
      <xdr:colOff>582706</xdr:colOff>
      <xdr:row>8</xdr:row>
      <xdr:rowOff>22412</xdr:rowOff>
    </xdr:to>
    <mc:AlternateContent xmlns:mc="http://schemas.openxmlformats.org/markup-compatibility/2006" xmlns:sle15="http://schemas.microsoft.com/office/drawing/2012/slicer">
      <mc:Choice Requires="sle15">
        <xdr:graphicFrame macro="">
          <xdr:nvGraphicFramePr>
            <xdr:cNvPr id="3" name="Status">
              <a:extLst>
                <a:ext uri="{FF2B5EF4-FFF2-40B4-BE49-F238E27FC236}">
                  <a16:creationId xmlns:a16="http://schemas.microsoft.com/office/drawing/2014/main" id="{A386D241-ACCC-0611-3052-E39A3468511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144499" y="1176618"/>
              <a:ext cx="1703295" cy="126626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137833</xdr:colOff>
      <xdr:row>11</xdr:row>
      <xdr:rowOff>31938</xdr:rowOff>
    </xdr:from>
    <xdr:to>
      <xdr:col>16</xdr:col>
      <xdr:colOff>67235</xdr:colOff>
      <xdr:row>18</xdr:row>
      <xdr:rowOff>67236</xdr:rowOff>
    </xdr:to>
    <mc:AlternateContent xmlns:mc="http://schemas.openxmlformats.org/markup-compatibility/2006" xmlns:sle15="http://schemas.microsoft.com/office/drawing/2012/slicer">
      <mc:Choice Requires="sle15">
        <xdr:graphicFrame macro="">
          <xdr:nvGraphicFramePr>
            <xdr:cNvPr id="4" name="Status 1">
              <a:extLst>
                <a:ext uri="{FF2B5EF4-FFF2-40B4-BE49-F238E27FC236}">
                  <a16:creationId xmlns:a16="http://schemas.microsoft.com/office/drawing/2014/main" id="{E6E52A79-4A25-8CD1-D9C5-3E8E5F628FF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192686" y="2956673"/>
              <a:ext cx="1744755" cy="1211916"/>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ABE3516-F1F8-4603-9627-19563405D6C0}" sourceName="Status">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53C477D1-BD53-4EB8-ACCB-539D8056D350}" sourceName="Status">
  <extLst>
    <x:ext xmlns:x15="http://schemas.microsoft.com/office/spreadsheetml/2010/11/main" uri="{2F2917AC-EB37-4324-AD4E-5DD8C200BD13}">
      <x15:tableSlicerCache tableId="2"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5E353C2-6F54-41FD-9B2C-4F2D095BFE5F}" cache="Slicer_Status" caption="SHORT COURSE" style="SlicerStyleDark3" rowHeight="257175"/>
  <slicer name="Status 1" xr10:uid="{0B70141C-22B2-4D27-BA77-01A82F1649DB}" cache="Slicer_Status1" caption="TUITION"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05C8D8-5E7F-4CE2-B1B4-3D275A6CB469}" name="Table1" displayName="Table1" ref="A9:J19" totalsRowCount="1" headerRowDxfId="52" totalsRowDxfId="50" tableBorderDxfId="51" totalsRowBorderDxfId="49" totalsRowCellStyle="Normal 2">
  <autoFilter ref="A9:J18" xr:uid="{0405C8D8-5E7F-4CE2-B1B4-3D275A6CB4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6BC60F-7FA6-4C03-B273-F767455C32C3}" name="S.No" totalsRowLabel="Total" dataDxfId="48" totalsRowDxfId="47"/>
    <tableColumn id="2" xr3:uid="{110BEB2E-06FB-4612-B423-00D98BDAEDA0}" name="Student Name" totalsRowFunction="count" dataDxfId="46" totalsRowDxfId="45"/>
    <tableColumn id="3" xr3:uid="{22A68795-3C30-4688-A547-0F84C0B69952}" name="Father's Name" dataDxfId="44" totalsRowDxfId="43"/>
    <tableColumn id="4" xr3:uid="{56F3E4CF-2CD6-41EB-A6A1-3BC5D1141D62}" name="Subject" dataDxfId="42" totalsRowDxfId="41"/>
    <tableColumn id="5" xr3:uid="{D7E2BAED-2983-4730-825F-690D98F57D1F}" name="Total Fee" totalsRowFunction="sum" dataDxfId="40" totalsRowDxfId="39"/>
    <tableColumn id="6" xr3:uid="{7E4CE396-00EA-458D-8C40-C6659DF5BC0B}" name="Paid" totalsRowFunction="sum" dataDxfId="38" totalsRowDxfId="37"/>
    <tableColumn id="7" xr3:uid="{61DE9E18-CE02-485E-84CA-F64132C9E378}" name="Balance" totalsRowFunction="sum" dataDxfId="36" totalsRowDxfId="35">
      <calculatedColumnFormula>E10-F10</calculatedColumnFormula>
    </tableColumn>
    <tableColumn id="8" xr3:uid="{BCD98C50-671B-4A8E-A36B-D8932B85E829}" name="Status" dataDxfId="34" totalsRowDxfId="33"/>
    <tableColumn id="9" xr3:uid="{6FBA6AC0-F56B-45BF-BC4E-4E0C1DA77DC7}" name="Contact" dataDxfId="32" totalsRowDxfId="31" dataCellStyle="Normal 2"/>
    <tableColumn id="10" xr3:uid="{B53E4759-7212-4F98-B426-BEB82CEE0503}" name="Next Date" dataDxfId="30" totalsRowDxfId="2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9609D0-C12B-4FE6-B7A0-00CD3DBE02C5}" name="Table2" displayName="Table2" ref="A23:J29" totalsRowCount="1" totalsRowDxfId="27" tableBorderDxfId="28" totalsRowBorderDxfId="26" totalsRowCellStyle="Normal 2">
  <autoFilter ref="A23:J28" xr:uid="{039609D0-C12B-4FE6-B7A0-00CD3DBE02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0F5CD72-A394-46ED-AFEC-6E81C2647A96}" name="S.No" totalsRowLabel="Total" dataDxfId="25" totalsRowDxfId="24"/>
    <tableColumn id="2" xr3:uid="{14D5CB60-6E2C-4FB3-B91B-EABDBD10A2C0}" name="Student Name" totalsRowFunction="count" dataDxfId="23" totalsRowDxfId="22"/>
    <tableColumn id="3" xr3:uid="{9CF270AD-1393-4CFD-9D08-15A60A523777}" name="Father's Name" dataDxfId="21" totalsRowDxfId="20"/>
    <tableColumn id="4" xr3:uid="{3BEC5AB3-E34C-4BB6-B83C-63E13230044D}" name="Subject" dataDxfId="19" totalsRowDxfId="18"/>
    <tableColumn id="5" xr3:uid="{1FC12631-06F8-43CA-8D85-501360BF9CEA}" name="Total Fee" totalsRowFunction="sum" dataDxfId="17" totalsRowDxfId="16"/>
    <tableColumn id="6" xr3:uid="{0A8B9DF7-85C2-4EF5-ABA8-B3E93339B23E}" name="Paid" totalsRowFunction="sum" dataDxfId="15" totalsRowDxfId="14"/>
    <tableColumn id="7" xr3:uid="{A78FB2C2-A2B6-4EC1-B532-9F4CBC2CD894}" name="Balance" totalsRowFunction="sum" dataDxfId="13" totalsRowDxfId="12"/>
    <tableColumn id="8" xr3:uid="{E841E3F6-9D93-45EE-98E5-843A21883C32}" name="Status" dataDxfId="11" totalsRowDxfId="10" dataCellStyle="Normal 2"/>
    <tableColumn id="9" xr3:uid="{D7F73A14-C049-4117-8A6D-7329141F90A1}" name="Contact" dataDxfId="9" totalsRowDxfId="8"/>
    <tableColumn id="10" xr3:uid="{CD3BF401-D7A6-42EB-9184-1D7312DC159B}" name="Next Date" totalsRowFunction="count" dataDxfId="7" totalsRowDxfId="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95A4E2A-09A6-4A54-A39C-527303762185}">
  <we:reference id="wa200005502" version="1.0.0.13" store="en-US" storeType="OMEX"/>
  <we:alternateReferences>
    <we:reference id="WA200005502" version="1.0.0.13" store="" storeType="OMEX"/>
  </we:alternateReferences>
  <we:properties>
    <we:property name="docId" value="&quot;K4Glu1cm5Nx_V9ZCuxL4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CBBF1523-5D93-4B2F-9F9B-7EAE93EE5581}">
  <we:reference id="wa104379710" version="1.0.0.2" store="en-US" storeType="OMEX"/>
  <we:alternateReferences>
    <we:reference id="wa104379710" version="1.0.0.2" store="wa10437971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5345-D221-4287-857E-F19353590BAB}">
  <sheetPr codeName="Sheet1"/>
  <dimension ref="A1:M29"/>
  <sheetViews>
    <sheetView showGridLines="0" tabSelected="1" zoomScale="85" zoomScaleNormal="85" workbookViewId="0">
      <pane ySplit="1" topLeftCell="A2" activePane="bottomLeft" state="frozen"/>
      <selection activeCell="F5" sqref="F5:G5"/>
      <selection pane="bottomLeft" activeCell="N22" sqref="N22"/>
    </sheetView>
  </sheetViews>
  <sheetFormatPr defaultRowHeight="13.5" customHeight="1" x14ac:dyDescent="0.25"/>
  <cols>
    <col min="1" max="1" width="17" bestFit="1" customWidth="1"/>
    <col min="2" max="2" width="20.42578125" bestFit="1" customWidth="1"/>
    <col min="3" max="3" width="20.5703125" bestFit="1" customWidth="1"/>
    <col min="4" max="4" width="14.42578125" style="27" customWidth="1"/>
    <col min="5" max="5" width="13.140625" bestFit="1" customWidth="1"/>
    <col min="6" max="6" width="12.5703125" bestFit="1" customWidth="1"/>
    <col min="7" max="7" width="15.7109375" customWidth="1"/>
    <col min="8" max="8" width="11.140625" bestFit="1" customWidth="1"/>
    <col min="9" max="9" width="13.42578125" bestFit="1" customWidth="1"/>
    <col min="10" max="10" width="18.5703125" customWidth="1"/>
    <col min="12" max="12" width="15.7109375" customWidth="1"/>
    <col min="13" max="13" width="13.85546875" customWidth="1"/>
  </cols>
  <sheetData>
    <row r="1" spans="1:13" ht="90" customHeight="1" x14ac:dyDescent="0.25">
      <c r="A1" s="41" t="s">
        <v>32</v>
      </c>
      <c r="B1" s="41"/>
      <c r="C1" s="41"/>
      <c r="D1" s="41"/>
      <c r="E1" s="41"/>
      <c r="F1" s="41"/>
      <c r="G1" s="41"/>
      <c r="H1" s="41"/>
      <c r="I1" s="41"/>
      <c r="J1" s="41"/>
      <c r="K1" s="41"/>
      <c r="L1" s="41"/>
      <c r="M1" s="41"/>
    </row>
    <row r="2" spans="1:13" ht="13.5" customHeight="1" x14ac:dyDescent="0.25">
      <c r="A2" s="42" t="s">
        <v>33</v>
      </c>
      <c r="B2" s="42"/>
      <c r="C2" s="42"/>
      <c r="D2" s="42"/>
      <c r="E2" s="42"/>
      <c r="F2" s="42"/>
      <c r="G2" s="42"/>
      <c r="H2" s="42"/>
      <c r="I2" s="42"/>
      <c r="J2" s="42"/>
      <c r="K2" s="42"/>
      <c r="L2" s="42"/>
      <c r="M2" s="42"/>
    </row>
    <row r="3" spans="1:13" ht="7.5" customHeight="1" x14ac:dyDescent="0.25">
      <c r="A3" s="1"/>
      <c r="B3" s="1"/>
      <c r="C3" s="1"/>
      <c r="D3" s="30"/>
      <c r="E3" s="1"/>
      <c r="F3" s="1"/>
      <c r="G3" s="1"/>
      <c r="H3" s="1"/>
      <c r="I3" s="1"/>
      <c r="J3" s="1"/>
      <c r="L3" s="2"/>
    </row>
    <row r="4" spans="1:13" ht="13.5" customHeight="1" x14ac:dyDescent="0.25">
      <c r="A4" s="3" t="s">
        <v>0</v>
      </c>
      <c r="B4" s="4" t="s">
        <v>1</v>
      </c>
      <c r="C4" s="5" t="s">
        <v>2</v>
      </c>
      <c r="D4" s="49" t="s">
        <v>3</v>
      </c>
      <c r="E4" s="50"/>
      <c r="F4" s="51" t="s">
        <v>4</v>
      </c>
      <c r="G4" s="52"/>
      <c r="H4" s="53" t="s">
        <v>5</v>
      </c>
      <c r="I4" s="53"/>
      <c r="J4" s="6" t="s">
        <v>6</v>
      </c>
      <c r="L4" s="43" t="s">
        <v>7</v>
      </c>
      <c r="M4" s="43"/>
    </row>
    <row r="5" spans="1:13" ht="24.75" customHeight="1" x14ac:dyDescent="0.25">
      <c r="A5" s="7">
        <f>E19+E29</f>
        <v>30000</v>
      </c>
      <c r="B5" s="8">
        <f>Table1[[#Totals],[Paid]]+Table2[[#Totals],[Paid]]</f>
        <v>27000</v>
      </c>
      <c r="C5" s="9">
        <f>A5-B5</f>
        <v>3000</v>
      </c>
      <c r="D5" s="44">
        <f>B5</f>
        <v>27000</v>
      </c>
      <c r="E5" s="45"/>
      <c r="F5" s="46">
        <f>B5*0%</f>
        <v>0</v>
      </c>
      <c r="G5" s="47"/>
      <c r="H5" s="48">
        <f>M29</f>
        <v>14950</v>
      </c>
      <c r="I5" s="48"/>
      <c r="J5" s="10">
        <f>D5-H5</f>
        <v>12050</v>
      </c>
      <c r="L5" s="43"/>
      <c r="M5" s="43"/>
    </row>
    <row r="6" spans="1:13" ht="2.25" customHeight="1" x14ac:dyDescent="0.25">
      <c r="A6" s="11"/>
      <c r="B6" s="11" t="s">
        <v>8</v>
      </c>
      <c r="C6" s="11"/>
      <c r="D6" s="25"/>
      <c r="E6" s="11"/>
      <c r="F6" s="11"/>
      <c r="G6" s="11"/>
      <c r="H6" s="11"/>
      <c r="I6" s="11"/>
      <c r="J6" s="11"/>
    </row>
    <row r="7" spans="1:13" ht="25.5" customHeight="1" x14ac:dyDescent="0.4">
      <c r="A7" s="11"/>
      <c r="B7" s="11"/>
      <c r="C7" s="11"/>
      <c r="D7" s="37" t="s">
        <v>34</v>
      </c>
      <c r="E7" s="38"/>
      <c r="F7" s="38"/>
      <c r="G7" s="38"/>
      <c r="H7" s="11"/>
      <c r="I7" s="11"/>
      <c r="J7" s="11"/>
      <c r="L7" s="21" t="s">
        <v>19</v>
      </c>
      <c r="M7" s="21" t="s">
        <v>20</v>
      </c>
    </row>
    <row r="8" spans="1:13" ht="13.5" customHeight="1" x14ac:dyDescent="0.25">
      <c r="A8" s="11"/>
      <c r="B8" s="11"/>
      <c r="C8" s="11"/>
      <c r="D8" s="25"/>
      <c r="E8" s="11"/>
      <c r="F8" s="11"/>
      <c r="G8" s="26"/>
      <c r="H8" s="11"/>
      <c r="I8" s="11"/>
      <c r="J8" s="11"/>
      <c r="L8" s="23">
        <v>46274</v>
      </c>
      <c r="M8" s="22">
        <v>1000</v>
      </c>
    </row>
    <row r="9" spans="1:13" ht="13.5" customHeight="1" x14ac:dyDescent="0.25">
      <c r="A9" s="14" t="s">
        <v>9</v>
      </c>
      <c r="B9" s="15" t="s">
        <v>10</v>
      </c>
      <c r="C9" s="16" t="s">
        <v>11</v>
      </c>
      <c r="D9" s="17" t="s">
        <v>12</v>
      </c>
      <c r="E9" s="17" t="s">
        <v>13</v>
      </c>
      <c r="F9" s="17" t="s">
        <v>14</v>
      </c>
      <c r="G9" s="18" t="s">
        <v>15</v>
      </c>
      <c r="H9" s="19" t="s">
        <v>16</v>
      </c>
      <c r="I9" s="19" t="s">
        <v>17</v>
      </c>
      <c r="J9" s="20" t="s">
        <v>18</v>
      </c>
      <c r="L9" s="23">
        <v>46275</v>
      </c>
      <c r="M9" s="22">
        <v>600</v>
      </c>
    </row>
    <row r="10" spans="1:13" ht="13.5" customHeight="1" x14ac:dyDescent="0.25">
      <c r="A10" s="12">
        <v>1</v>
      </c>
      <c r="B10" s="12" t="s">
        <v>22</v>
      </c>
      <c r="C10" s="12" t="s">
        <v>23</v>
      </c>
      <c r="D10" s="31" t="s">
        <v>34</v>
      </c>
      <c r="E10" s="22">
        <v>4000</v>
      </c>
      <c r="F10" s="22">
        <v>4000</v>
      </c>
      <c r="G10" s="22">
        <f>E10-F10</f>
        <v>0</v>
      </c>
      <c r="H10" s="13" t="str">
        <f>IF(F10&lt;1, "Unpaid", IF(F10&lt;E10, "Partial Paid", "Paid"))</f>
        <v>Paid</v>
      </c>
      <c r="I10" s="12"/>
      <c r="J10" s="12"/>
      <c r="L10" s="23">
        <v>46276</v>
      </c>
      <c r="M10" s="22">
        <v>1000</v>
      </c>
    </row>
    <row r="11" spans="1:13" ht="13.5" customHeight="1" x14ac:dyDescent="0.25">
      <c r="A11" s="12">
        <v>2</v>
      </c>
      <c r="B11" s="12" t="s">
        <v>24</v>
      </c>
      <c r="C11" s="12"/>
      <c r="D11" s="31" t="s">
        <v>34</v>
      </c>
      <c r="E11" s="22">
        <v>5000</v>
      </c>
      <c r="F11" s="22">
        <v>5000</v>
      </c>
      <c r="G11" s="22">
        <f t="shared" ref="G11:G18" si="0">E11-F11</f>
        <v>0</v>
      </c>
      <c r="H11" s="13" t="str">
        <f t="shared" ref="H11:H18" si="1">IF(F11&lt;1, "Unpaid", IF(F11&lt;E11, "Partial Paid", "Paid"))</f>
        <v>Paid</v>
      </c>
      <c r="I11" s="12"/>
      <c r="J11" s="12"/>
      <c r="L11" s="23">
        <v>46277</v>
      </c>
      <c r="M11" s="22">
        <v>500</v>
      </c>
    </row>
    <row r="12" spans="1:13" ht="13.5" customHeight="1" x14ac:dyDescent="0.25">
      <c r="A12" s="12">
        <v>4</v>
      </c>
      <c r="B12" s="12" t="s">
        <v>25</v>
      </c>
      <c r="C12" s="12" t="s">
        <v>28</v>
      </c>
      <c r="D12" s="31" t="s">
        <v>34</v>
      </c>
      <c r="E12" s="22">
        <v>3000</v>
      </c>
      <c r="F12" s="22">
        <v>3000</v>
      </c>
      <c r="G12" s="22">
        <f t="shared" si="0"/>
        <v>0</v>
      </c>
      <c r="H12" s="13" t="str">
        <f t="shared" si="1"/>
        <v>Paid</v>
      </c>
      <c r="I12" s="12"/>
      <c r="J12" s="12"/>
      <c r="L12" s="23">
        <v>46281</v>
      </c>
      <c r="M12" s="22">
        <v>600</v>
      </c>
    </row>
    <row r="13" spans="1:13" ht="13.5" customHeight="1" x14ac:dyDescent="0.25">
      <c r="A13" s="12">
        <v>6</v>
      </c>
      <c r="B13" s="12" t="s">
        <v>26</v>
      </c>
      <c r="C13" s="12" t="s">
        <v>27</v>
      </c>
      <c r="D13" s="31" t="s">
        <v>34</v>
      </c>
      <c r="E13" s="22">
        <v>6000</v>
      </c>
      <c r="F13" s="22">
        <v>6000</v>
      </c>
      <c r="G13" s="22">
        <f t="shared" si="0"/>
        <v>0</v>
      </c>
      <c r="H13" s="13" t="str">
        <f t="shared" si="1"/>
        <v>Paid</v>
      </c>
      <c r="I13" s="12"/>
      <c r="J13" s="12"/>
      <c r="L13" s="23">
        <v>46282</v>
      </c>
      <c r="M13" s="22">
        <v>500</v>
      </c>
    </row>
    <row r="14" spans="1:13" ht="13.5" customHeight="1" x14ac:dyDescent="0.25">
      <c r="A14" s="12">
        <v>7</v>
      </c>
      <c r="B14" s="12" t="s">
        <v>29</v>
      </c>
      <c r="C14" s="12"/>
      <c r="D14" s="31" t="s">
        <v>34</v>
      </c>
      <c r="E14" s="22">
        <v>6000</v>
      </c>
      <c r="F14" s="22">
        <v>3000</v>
      </c>
      <c r="G14" s="22">
        <f t="shared" si="0"/>
        <v>3000</v>
      </c>
      <c r="H14" s="13" t="str">
        <f t="shared" si="1"/>
        <v>Partial Paid</v>
      </c>
      <c r="I14" s="12"/>
      <c r="J14" s="12"/>
      <c r="L14" s="23">
        <v>46283</v>
      </c>
      <c r="M14" s="22">
        <v>750</v>
      </c>
    </row>
    <row r="15" spans="1:13" ht="13.5" customHeight="1" x14ac:dyDescent="0.25">
      <c r="A15" s="12">
        <v>8</v>
      </c>
      <c r="B15" s="12" t="s">
        <v>36</v>
      </c>
      <c r="C15" s="12"/>
      <c r="D15" s="31" t="s">
        <v>34</v>
      </c>
      <c r="E15" s="22">
        <v>4000</v>
      </c>
      <c r="F15" s="22">
        <v>4000</v>
      </c>
      <c r="G15" s="22">
        <f t="shared" si="0"/>
        <v>0</v>
      </c>
      <c r="H15" s="13" t="str">
        <f t="shared" si="1"/>
        <v>Paid</v>
      </c>
      <c r="I15" s="12"/>
      <c r="J15" s="12"/>
      <c r="L15" s="23">
        <v>46284</v>
      </c>
      <c r="M15" s="22">
        <v>1000</v>
      </c>
    </row>
    <row r="16" spans="1:13" ht="13.5" customHeight="1" x14ac:dyDescent="0.25">
      <c r="A16" s="12">
        <v>9</v>
      </c>
      <c r="B16" s="12"/>
      <c r="C16" s="12"/>
      <c r="D16" s="31" t="s">
        <v>34</v>
      </c>
      <c r="E16" s="22">
        <v>0</v>
      </c>
      <c r="F16" s="22">
        <v>0</v>
      </c>
      <c r="G16" s="22">
        <f t="shared" si="0"/>
        <v>0</v>
      </c>
      <c r="H16" s="13" t="str">
        <f t="shared" si="1"/>
        <v>Unpaid</v>
      </c>
      <c r="I16" s="12"/>
      <c r="J16" s="12"/>
      <c r="L16" s="23">
        <v>46289</v>
      </c>
      <c r="M16" s="22">
        <v>500</v>
      </c>
    </row>
    <row r="17" spans="1:13" ht="13.5" customHeight="1" x14ac:dyDescent="0.25">
      <c r="A17" s="12">
        <v>10</v>
      </c>
      <c r="B17" s="12"/>
      <c r="C17" s="12"/>
      <c r="D17" s="31" t="s">
        <v>34</v>
      </c>
      <c r="E17" s="22">
        <v>0</v>
      </c>
      <c r="F17" s="22">
        <v>0</v>
      </c>
      <c r="G17" s="22">
        <f t="shared" si="0"/>
        <v>0</v>
      </c>
      <c r="H17" s="13" t="str">
        <f t="shared" si="1"/>
        <v>Unpaid</v>
      </c>
      <c r="I17" s="12"/>
      <c r="J17" s="12"/>
      <c r="L17" s="23">
        <v>46290</v>
      </c>
      <c r="M17" s="22">
        <v>300</v>
      </c>
    </row>
    <row r="18" spans="1:13" ht="13.5" customHeight="1" x14ac:dyDescent="0.25">
      <c r="A18" s="12">
        <v>11</v>
      </c>
      <c r="B18" s="12"/>
      <c r="C18" s="12"/>
      <c r="D18" s="31" t="s">
        <v>34</v>
      </c>
      <c r="E18" s="22">
        <v>0</v>
      </c>
      <c r="F18" s="22">
        <v>0</v>
      </c>
      <c r="G18" s="22">
        <f t="shared" si="0"/>
        <v>0</v>
      </c>
      <c r="H18" s="13" t="str">
        <f t="shared" si="1"/>
        <v>Unpaid</v>
      </c>
      <c r="I18" s="12"/>
      <c r="J18" s="12"/>
      <c r="L18" s="23">
        <v>46298</v>
      </c>
      <c r="M18" s="22">
        <v>1000</v>
      </c>
    </row>
    <row r="19" spans="1:13" ht="13.5" customHeight="1" x14ac:dyDescent="0.25">
      <c r="A19" s="32" t="s">
        <v>21</v>
      </c>
      <c r="B19" s="32">
        <f>SUBTOTAL(103,Table1[Student Name])</f>
        <v>6</v>
      </c>
      <c r="C19" s="32"/>
      <c r="D19" s="32"/>
      <c r="E19" s="35">
        <f>SUBTOTAL(109,Table1[Total Fee])</f>
        <v>28000</v>
      </c>
      <c r="F19" s="35">
        <f>SUBTOTAL(109,Table1[Paid])</f>
        <v>25000</v>
      </c>
      <c r="G19" s="35">
        <f>SUBTOTAL(109,Table1[Balance])</f>
        <v>3000</v>
      </c>
      <c r="H19" s="32"/>
      <c r="I19" s="32"/>
      <c r="J19" s="32"/>
      <c r="L19" s="23">
        <v>46299</v>
      </c>
      <c r="M19" s="22">
        <v>500</v>
      </c>
    </row>
    <row r="20" spans="1:13" ht="12.75" customHeight="1" x14ac:dyDescent="0.25">
      <c r="L20" s="23">
        <v>46301</v>
      </c>
      <c r="M20" s="22">
        <v>2000</v>
      </c>
    </row>
    <row r="21" spans="1:13" ht="18" customHeight="1" x14ac:dyDescent="0.25">
      <c r="D21" s="39" t="s">
        <v>35</v>
      </c>
      <c r="E21" s="40"/>
      <c r="F21" s="40"/>
      <c r="G21" s="40"/>
      <c r="L21" s="23">
        <v>46303</v>
      </c>
      <c r="M21" s="28">
        <v>1500</v>
      </c>
    </row>
    <row r="22" spans="1:13" ht="13.5" customHeight="1" x14ac:dyDescent="0.25">
      <c r="L22" s="23">
        <v>46305</v>
      </c>
      <c r="M22" s="22">
        <v>200</v>
      </c>
    </row>
    <row r="23" spans="1:13" ht="13.5" customHeight="1" x14ac:dyDescent="0.25">
      <c r="A23" s="15" t="s">
        <v>9</v>
      </c>
      <c r="B23" s="15" t="s">
        <v>10</v>
      </c>
      <c r="C23" s="16" t="s">
        <v>11</v>
      </c>
      <c r="D23" s="17" t="s">
        <v>12</v>
      </c>
      <c r="E23" s="17" t="s">
        <v>13</v>
      </c>
      <c r="F23" s="17" t="s">
        <v>14</v>
      </c>
      <c r="G23" s="18" t="s">
        <v>15</v>
      </c>
      <c r="H23" s="19" t="s">
        <v>16</v>
      </c>
      <c r="I23" s="19" t="s">
        <v>17</v>
      </c>
      <c r="J23" s="20" t="s">
        <v>18</v>
      </c>
      <c r="L23" s="23">
        <v>46307</v>
      </c>
      <c r="M23" s="22">
        <v>3000</v>
      </c>
    </row>
    <row r="24" spans="1:13" ht="13.5" customHeight="1" x14ac:dyDescent="0.25">
      <c r="A24" s="12">
        <v>1</v>
      </c>
      <c r="B24" s="12" t="s">
        <v>30</v>
      </c>
      <c r="C24" s="12"/>
      <c r="D24" s="29" t="s">
        <v>31</v>
      </c>
      <c r="E24" s="22">
        <v>2000</v>
      </c>
      <c r="F24" s="22">
        <v>2000</v>
      </c>
      <c r="G24" s="22">
        <f>E24-F24</f>
        <v>0</v>
      </c>
      <c r="H24" s="13" t="str">
        <f>IF(F24&lt;1, "Unpaid", IF(F24&lt;E24, "Partial Paid", "Paid"))</f>
        <v>Paid</v>
      </c>
      <c r="I24" s="12"/>
      <c r="J24" s="24"/>
      <c r="L24" s="23"/>
      <c r="M24" s="22">
        <v>0</v>
      </c>
    </row>
    <row r="25" spans="1:13" ht="13.5" customHeight="1" x14ac:dyDescent="0.25">
      <c r="A25" s="12">
        <v>2</v>
      </c>
      <c r="B25" s="12"/>
      <c r="C25" s="12"/>
      <c r="D25" s="29" t="s">
        <v>31</v>
      </c>
      <c r="E25" s="22">
        <v>0</v>
      </c>
      <c r="F25" s="22">
        <v>0</v>
      </c>
      <c r="G25" s="22">
        <f>E25-F25</f>
        <v>0</v>
      </c>
      <c r="H25" s="13" t="str">
        <f>IF(F25&lt;1, "Unpaid", IF(F25&lt;E25, "Partial Paid", "Paid"))</f>
        <v>Unpaid</v>
      </c>
      <c r="I25" s="12"/>
      <c r="J25" s="24"/>
      <c r="L25" s="23"/>
      <c r="M25" s="22">
        <v>0</v>
      </c>
    </row>
    <row r="26" spans="1:13" ht="13.5" customHeight="1" x14ac:dyDescent="0.25">
      <c r="A26" s="12">
        <v>3</v>
      </c>
      <c r="B26" s="12"/>
      <c r="C26" s="12"/>
      <c r="D26" s="29" t="s">
        <v>31</v>
      </c>
      <c r="E26" s="22">
        <v>0</v>
      </c>
      <c r="F26" s="22">
        <v>0</v>
      </c>
      <c r="G26" s="22">
        <f t="shared" ref="G26:G28" si="2">E26-F26</f>
        <v>0</v>
      </c>
      <c r="H26" s="13" t="str">
        <f t="shared" ref="H26:H28" si="3">IF(F26&lt;1, "Unpaid", IF(F26&lt;E26, "Partial Paid", "Paid"))</f>
        <v>Unpaid</v>
      </c>
      <c r="I26" s="12"/>
      <c r="J26" s="24"/>
      <c r="L26" s="23"/>
      <c r="M26" s="22"/>
    </row>
    <row r="27" spans="1:13" ht="13.5" customHeight="1" x14ac:dyDescent="0.25">
      <c r="A27" s="12">
        <v>4</v>
      </c>
      <c r="B27" s="12"/>
      <c r="C27" s="12"/>
      <c r="D27" s="29" t="s">
        <v>31</v>
      </c>
      <c r="E27" s="22">
        <v>0</v>
      </c>
      <c r="F27" s="22">
        <v>0</v>
      </c>
      <c r="G27" s="22">
        <f t="shared" si="2"/>
        <v>0</v>
      </c>
      <c r="H27" s="13" t="str">
        <f t="shared" si="3"/>
        <v>Unpaid</v>
      </c>
      <c r="I27" s="12"/>
      <c r="J27" s="12"/>
      <c r="L27" s="23"/>
      <c r="M27" s="22">
        <v>0</v>
      </c>
    </row>
    <row r="28" spans="1:13" ht="13.5" customHeight="1" x14ac:dyDescent="0.25">
      <c r="A28" s="12">
        <v>5</v>
      </c>
      <c r="B28" s="12"/>
      <c r="C28" s="12"/>
      <c r="D28" s="29" t="s">
        <v>31</v>
      </c>
      <c r="E28" s="22">
        <v>0</v>
      </c>
      <c r="F28" s="22">
        <v>0</v>
      </c>
      <c r="G28" s="22">
        <f t="shared" si="2"/>
        <v>0</v>
      </c>
      <c r="H28" s="13" t="str">
        <f t="shared" si="3"/>
        <v>Unpaid</v>
      </c>
      <c r="I28" s="12"/>
      <c r="J28" s="12"/>
      <c r="L28" s="23"/>
      <c r="M28" s="22">
        <v>0</v>
      </c>
    </row>
    <row r="29" spans="1:13" ht="13.5" customHeight="1" x14ac:dyDescent="0.25">
      <c r="A29" s="33" t="s">
        <v>21</v>
      </c>
      <c r="B29" s="33">
        <f>SUBTOTAL(103,Table2[Student Name])</f>
        <v>1</v>
      </c>
      <c r="C29" s="33"/>
      <c r="D29" s="33"/>
      <c r="E29" s="34">
        <f>SUBTOTAL(109,Table2[Total Fee])</f>
        <v>2000</v>
      </c>
      <c r="F29" s="34">
        <f>SUBTOTAL(109,Table2[Paid])</f>
        <v>2000</v>
      </c>
      <c r="G29" s="34">
        <f>SUBTOTAL(109,Table2[Balance])</f>
        <v>0</v>
      </c>
      <c r="H29" s="33"/>
      <c r="I29" s="33"/>
      <c r="J29" s="33">
        <f>SUBTOTAL(103,Table2[Next Date])</f>
        <v>0</v>
      </c>
      <c r="L29" s="21" t="s">
        <v>21</v>
      </c>
      <c r="M29" s="36">
        <f>SUM(M8:M28)</f>
        <v>14950</v>
      </c>
    </row>
  </sheetData>
  <mergeCells count="11">
    <mergeCell ref="D7:G7"/>
    <mergeCell ref="D21:G21"/>
    <mergeCell ref="A1:M1"/>
    <mergeCell ref="A2:M2"/>
    <mergeCell ref="L4:M5"/>
    <mergeCell ref="D5:E5"/>
    <mergeCell ref="F5:G5"/>
    <mergeCell ref="H5:I5"/>
    <mergeCell ref="D4:E4"/>
    <mergeCell ref="F4:G4"/>
    <mergeCell ref="H4:I4"/>
  </mergeCells>
  <conditionalFormatting sqref="H10:H18">
    <cfRule type="cellIs" dxfId="5" priority="4" operator="equal">
      <formula>"Unpaid"</formula>
    </cfRule>
    <cfRule type="cellIs" dxfId="4" priority="5" operator="equal">
      <formula>"Partial Paid"</formula>
    </cfRule>
    <cfRule type="cellIs" dxfId="3" priority="6" operator="equal">
      <formula>"Paid"</formula>
    </cfRule>
  </conditionalFormatting>
  <conditionalFormatting sqref="H24:H28">
    <cfRule type="cellIs" dxfId="2" priority="1" operator="equal">
      <formula>"Unpaid"</formula>
    </cfRule>
    <cfRule type="cellIs" dxfId="1" priority="2" operator="equal">
      <formula>"Partial Paid"</formula>
    </cfRule>
    <cfRule type="cellIs" dxfId="0" priority="3" operator="equal">
      <formula>"Paid"</formula>
    </cfRule>
  </conditionalFormatting>
  <dataValidations count="3">
    <dataValidation type="custom" allowBlank="1" showInputMessage="1" showErrorMessage="1" sqref="D10:D18" xr:uid="{B5B88E82-5ED0-4219-9607-754126C55FF6}">
      <formula1>"SHORT COURSE"</formula1>
    </dataValidation>
    <dataValidation allowBlank="1" showInputMessage="1" showErrorMessage="1" prompt="ENTER DATE_x000a_" sqref="L19:L28" xr:uid="{25536E19-ACD3-48FD-B9E1-6712280B132D}"/>
    <dataValidation type="whole" errorStyle="warning" operator="lessThanOrEqual" allowBlank="1" showInputMessage="1" showErrorMessage="1" error="ONLY AMOUNT" prompt="ENTER AMOUNT" sqref="M19:M28" xr:uid="{E5EAC2D0-543C-43AD-9D46-56200C3FADDC}">
      <formula1>500000</formula1>
    </dataValidation>
  </dataValidations>
  <pageMargins left="0.7" right="0.7" top="0.75" bottom="0.75" header="0.3" footer="0.3"/>
  <pageSetup paperSize="17" orientation="landscape"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FALL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ASDI ATD</dc:creator>
  <cp:lastModifiedBy>ASDI ATD</cp:lastModifiedBy>
  <cp:lastPrinted>2026-10-05T13:11:36Z</cp:lastPrinted>
  <dcterms:created xsi:type="dcterms:W3CDTF">2026-09-09T11:16:31Z</dcterms:created>
  <dcterms:modified xsi:type="dcterms:W3CDTF">2026-10-17T06:58:22Z</dcterms:modified>
</cp:coreProperties>
</file>