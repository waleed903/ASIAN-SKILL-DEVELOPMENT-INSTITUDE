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1a1f9411706e7a40/RECORDS!!/"/>
    </mc:Choice>
  </mc:AlternateContent>
  <xr:revisionPtr revIDLastSave="1" documentId="10_ncr:8000_{EB98A15D-C574-4735-AD42-7AB7E4446B34}" xr6:coauthVersionLast="47" xr6:coauthVersionMax="47" xr10:uidLastSave="{EC0C40B0-ADB1-4175-822B-7DF8E2BDCCB5}"/>
  <bookViews>
    <workbookView xWindow="-120" yWindow="-120" windowWidth="21840" windowHeight="13260" xr2:uid="{00000000-000D-0000-FFFF-FFFF00000000}"/>
  </bookViews>
  <sheets>
    <sheet name="Sheet1" sheetId="1" r:id="rId1"/>
  </sheets>
  <definedNames>
    <definedName name="Slicer_Student_Name">#N/A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 l="1"/>
  <c r="P6" i="1"/>
  <c r="P7" i="1"/>
  <c r="P8" i="1"/>
  <c r="P10" i="1"/>
  <c r="P11" i="1"/>
  <c r="P12" i="1"/>
  <c r="P13" i="1"/>
  <c r="P14" i="1"/>
  <c r="P15" i="1"/>
  <c r="P17" i="1"/>
  <c r="P18" i="1"/>
  <c r="P19" i="1"/>
  <c r="P21" i="1"/>
  <c r="P4" i="1"/>
  <c r="F4" i="1"/>
  <c r="N4" i="1"/>
  <c r="O4" i="1"/>
  <c r="B28" i="1" a="1"/>
  <c r="N21" i="1"/>
  <c r="O21" i="1" s="1"/>
  <c r="O22" i="1"/>
  <c r="P22" i="1" s="1"/>
  <c r="F21" i="1"/>
  <c r="D23" i="1"/>
  <c r="F5" i="1"/>
  <c r="N5" i="1"/>
  <c r="O5" i="1" s="1"/>
  <c r="F6" i="1"/>
  <c r="N6" i="1"/>
  <c r="O6" i="1" s="1"/>
  <c r="F7" i="1"/>
  <c r="N7" i="1"/>
  <c r="O7" i="1" s="1"/>
  <c r="F8" i="1"/>
  <c r="N8" i="1"/>
  <c r="O8" i="1" s="1"/>
  <c r="F9" i="1"/>
  <c r="N9" i="1"/>
  <c r="F10" i="1"/>
  <c r="N10" i="1"/>
  <c r="O10" i="1" s="1"/>
  <c r="F11" i="1"/>
  <c r="N11" i="1"/>
  <c r="O11" i="1" s="1"/>
  <c r="F12" i="1"/>
  <c r="N12" i="1"/>
  <c r="O12" i="1"/>
  <c r="F13" i="1"/>
  <c r="N13" i="1"/>
  <c r="O13" i="1" s="1"/>
  <c r="F14" i="1"/>
  <c r="N14" i="1"/>
  <c r="O14" i="1" s="1"/>
  <c r="F15" i="1"/>
  <c r="N15" i="1"/>
  <c r="O15" i="1"/>
  <c r="F16" i="1"/>
  <c r="N16" i="1"/>
  <c r="F17" i="1"/>
  <c r="N17" i="1"/>
  <c r="O17" i="1" s="1"/>
  <c r="F18" i="1"/>
  <c r="N18" i="1"/>
  <c r="O18" i="1" s="1"/>
  <c r="F19" i="1"/>
  <c r="N19" i="1"/>
  <c r="O19" i="1" s="1"/>
  <c r="F20" i="1"/>
  <c r="N20" i="1"/>
  <c r="F22" i="1"/>
  <c r="N22" i="1"/>
  <c r="M23" i="1"/>
  <c r="K23" i="1"/>
  <c r="J23" i="1"/>
  <c r="I23" i="1"/>
  <c r="H23" i="1"/>
  <c r="G23" i="1"/>
  <c r="P9" i="1" l="1"/>
  <c r="O9" i="1"/>
  <c r="O23" i="1" s="1"/>
  <c r="O20" i="1"/>
  <c r="P20" i="1"/>
  <c r="O16" i="1"/>
  <c r="P16" i="1"/>
  <c r="F23" i="1"/>
  <c r="N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<sst xmlns="http://schemas.openxmlformats.org/spreadsheetml/2006/main" count="101" uniqueCount="82">
  <si>
    <t>Asian Academy Abbottabad  |  Diploma in Information Technology</t>
  </si>
  <si>
    <t>S.No</t>
  </si>
  <si>
    <t>Student Name</t>
  </si>
  <si>
    <t>Father Name</t>
  </si>
  <si>
    <t>Total Fee</t>
  </si>
  <si>
    <t>SEP</t>
  </si>
  <si>
    <t>OCT</t>
  </si>
  <si>
    <t>NOV</t>
  </si>
  <si>
    <t>DEC</t>
  </si>
  <si>
    <t>JAN</t>
  </si>
  <si>
    <t>FEB</t>
  </si>
  <si>
    <t>Exam</t>
  </si>
  <si>
    <t>Total Paid</t>
  </si>
  <si>
    <t>Balance</t>
  </si>
  <si>
    <t>Status</t>
  </si>
  <si>
    <t>Contact</t>
  </si>
  <si>
    <t>GRAND TOTALS</t>
  </si>
  <si>
    <t>NATASHA</t>
  </si>
  <si>
    <t>PREVIOUS</t>
  </si>
  <si>
    <t>TOTAL</t>
  </si>
  <si>
    <t>DIT 2nd SEMESTER 2027  —  FEE DATABASE</t>
  </si>
  <si>
    <t>UROOJ</t>
  </si>
  <si>
    <t>NADIA</t>
  </si>
  <si>
    <t>AIMEN MUNEER</t>
  </si>
  <si>
    <t>ABDULLAH</t>
  </si>
  <si>
    <t>MAHAZ SALEEM</t>
  </si>
  <si>
    <t>FARHAN SHAKEEL</t>
  </si>
  <si>
    <t>ISMAIL</t>
  </si>
  <si>
    <t>WASEEM</t>
  </si>
  <si>
    <t>MUHAMMAD UMER</t>
  </si>
  <si>
    <t>AHMED ALI</t>
  </si>
  <si>
    <t>HUSSNAIN</t>
  </si>
  <si>
    <t>SHOAIB AHMED</t>
  </si>
  <si>
    <t>ASAD KHAN</t>
  </si>
  <si>
    <t>ABDUL RAFAY</t>
  </si>
  <si>
    <t>REHMAT ALI</t>
  </si>
  <si>
    <t>RAIZ</t>
  </si>
  <si>
    <t>0320-992936</t>
  </si>
  <si>
    <t>0313-5819922</t>
  </si>
  <si>
    <t>0314-5402189</t>
  </si>
  <si>
    <t>0343-5408334</t>
  </si>
  <si>
    <t>0309-9200940</t>
  </si>
  <si>
    <t>0312-3821341</t>
  </si>
  <si>
    <t>0314-9516751</t>
  </si>
  <si>
    <t>0310-5441073</t>
  </si>
  <si>
    <t>0349-0063092</t>
  </si>
  <si>
    <t>0330-3832269</t>
  </si>
  <si>
    <t>0319-8098693</t>
  </si>
  <si>
    <t>0313-9222090</t>
  </si>
  <si>
    <t>0319-6730985</t>
  </si>
  <si>
    <t>0313-5346873</t>
  </si>
  <si>
    <t>0310-9051451</t>
  </si>
  <si>
    <t>0310-1230580</t>
  </si>
  <si>
    <t>0327-5689929</t>
  </si>
  <si>
    <t>Muhammad Haneef</t>
  </si>
  <si>
    <t xml:space="preserve">MALIK ANAS </t>
  </si>
  <si>
    <t>RASHEED</t>
  </si>
  <si>
    <t>0308-5411270</t>
  </si>
  <si>
    <t>Row Labels</t>
  </si>
  <si>
    <t>Grand Total</t>
  </si>
  <si>
    <t>Sum of TOTAL</t>
  </si>
  <si>
    <t>Sum of Total Paid</t>
  </si>
  <si>
    <t>Sum of Balance</t>
  </si>
  <si>
    <t>RIAZ</t>
  </si>
  <si>
    <t>M SHAMRAIZ</t>
  </si>
  <si>
    <t>TUFAIL AHMED</t>
  </si>
  <si>
    <t>MUNEER HUSSAIN</t>
  </si>
  <si>
    <t>M RAFIQUE</t>
  </si>
  <si>
    <t>M SALEEM</t>
  </si>
  <si>
    <t>SHAKEEL AHMAD</t>
  </si>
  <si>
    <t>KHUSHAL</t>
  </si>
  <si>
    <t>LIAQAT</t>
  </si>
  <si>
    <t>KHAQAN</t>
  </si>
  <si>
    <t>NAWAZ</t>
  </si>
  <si>
    <t>HAROON UR RASHEED</t>
  </si>
  <si>
    <t>FAISAL</t>
  </si>
  <si>
    <t>HAFEEZ UR REHMAN</t>
  </si>
  <si>
    <t>ABDUL MUNIR</t>
  </si>
  <si>
    <t/>
  </si>
  <si>
    <t>M ZAFAR</t>
  </si>
  <si>
    <t>MUHAMMAD HANEEF</t>
  </si>
  <si>
    <t>NAIMAT KHAN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</si>
</sst>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0"/>
      <color rgb="FF000000"/>
      <name val="Arial"/>
      <family val="2"/>
    </font>
    <font>
      <b/>
      <sz val="10"/>
      <color theme="1"/>
      <name val="Arial"/>
      <family val="2"/>
    </font>
    <font>
      <sz val="10"/>
      <color theme="1"/>
      <name val="Arial"/>
      <family val="2"/>
    </font>
    <font>
      <b/>
      <sz val="10"/>
      <color rgb="FFC0392B"/>
      <name val="Arial"/>
      <family val="2"/>
    </font>
    <font>
      <b/>
      <sz val="9"/>
      <color rgb="FFC0392B"/>
      <name val="Arial"/>
      <family val="2"/>
    </font>
    <font>
      <b/>
      <sz val="10"/>
      <color rgb="FFD4A017"/>
      <name val="Arial"/>
      <family val="2"/>
    </font>
    <font>
      <b/>
      <sz val="10"/>
      <color rgb="FFFFFFFF"/>
      <name val="Arial"/>
      <family val="2"/>
    </font>
    <font>
      <sz val="8"/>
      <name val="Calibri"/>
      <family val="2"/>
      <scheme val="minor"/>
    </font>
    <font>
      <sz val="8"/>
      <color theme="0"/>
      <name val="Calibri"/>
      <family val="2"/>
      <scheme val="minor"/>
    </font>
    <font>
      <sz val="8"/>
      <color theme="0"/>
      <name val="Arial"/>
      <family val="2"/>
    </font>
    <font>
      <i/>
      <sz val="11"/>
      <color rgb="FFFFFFFF"/>
      <name val="Arial"/>
      <family val="2"/>
    </font>
    <font>
      <b/>
      <sz val="10"/>
      <color rgb="FFFF0000"/>
      <name val="Arial"/>
      <family val="2"/>
    </font>
    <font>
      <b/>
      <sz val="28"/>
      <color rgb="FFD4A017"/>
      <name val="Arial"/>
      <family val="2"/>
    </font>
    <font>
      <b/>
      <sz val="10"/>
      <color rgb="FF000000"/>
      <name val="Arial"/>
      <charset val="1"/>
    </font>
    <font>
      <sz val="10"/>
      <color theme="1"/>
      <name val="Arial"/>
      <charset val="1"/>
    </font>
    <font>
      <sz val="10"/>
      <color rgb="FFAAAAAA"/>
      <name val="Arial"/>
      <charset val="1"/>
    </font>
    <font>
      <sz val="10"/>
      <color theme="1"/>
      <name val="Calibri"/>
      <family val="2"/>
      <scheme val="minor"/>
    </font>
  </fonts>
  <fills count="10">
    <fill>
      <patternFill patternType="none"/>
    </fill>
    <fill>
      <patternFill patternType="gray125"/>
    </fill>
    <fill>
      <patternFill patternType="solid">
        <fgColor rgb="FF0D1B2A"/>
        <bgColor rgb="FF1A2B3C"/>
      </patternFill>
    </fill>
    <fill>
      <patternFill patternType="solid">
        <fgColor rgb="FF1A2B3C"/>
        <bgColor rgb="FF0D1B2A"/>
      </patternFill>
    </fill>
    <fill>
      <patternFill patternType="solid">
        <fgColor rgb="FFEAF2FF"/>
        <bgColor rgb="FFFDECEA"/>
      </patternFill>
    </fill>
    <fill>
      <patternFill patternType="solid">
        <fgColor rgb="FFFDECEA"/>
        <bgColor rgb="FFFEF3E2"/>
      </patternFill>
    </fill>
    <fill>
      <patternFill patternType="solid">
        <fgColor rgb="FFFFFFFF"/>
        <bgColor rgb="FFFEF3E2"/>
      </patternFill>
    </fill>
    <fill>
      <patternFill patternType="solid">
        <fgColor theme="0"/>
        <bgColor rgb="FFFDECEA"/>
      </patternFill>
    </fill>
    <fill>
      <patternFill patternType="solid">
        <fgColor rgb="FFD9E1F2"/>
        <bgColor indexed="64"/>
      </patternFill>
    </fill>
    <fill>
      <patternFill patternType="solid">
        <fgColor theme="9" tint="0.39997558519241921"/>
        <bgColor indexed="64"/>
      </patternFill>
    </fill>
  </fills>
  <borders count="11">
    <border>
      <left/>
      <right/>
      <top/>
      <bottom/>
      <diagonal/>
    </border>
    <border>
      <left style="thin">
        <color theme="3"/>
      </left>
      <right/>
      <top/>
      <bottom/>
      <diagonal/>
    </border>
    <border>
      <left style="thin">
        <color theme="3"/>
      </left>
      <right style="thin">
        <color theme="3"/>
      </right>
      <top/>
      <bottom/>
      <diagonal/>
    </border>
    <border>
      <left/>
      <right style="thin">
        <color theme="3"/>
      </right>
      <top/>
      <bottom/>
      <diagonal/>
    </border>
    <border>
      <left style="thin">
        <color theme="8"/>
      </left>
      <right style="thin">
        <color theme="8"/>
      </right>
      <top style="thin">
        <color theme="8"/>
      </top>
      <bottom style="thin">
        <color theme="8"/>
      </bottom>
      <diagonal/>
    </border>
    <border>
      <left style="thin">
        <color theme="3"/>
      </left>
      <right/>
      <top/>
      <bottom style="thin">
        <color theme="8"/>
      </bottom>
      <diagonal/>
    </border>
    <border>
      <left/>
      <right/>
      <top/>
      <bottom style="thin">
        <color theme="8"/>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s>
  <cellStyleXfs count="2">
    <xf numFmtId="0" fontId="0" fillId="0" borderId="0"/>
    <xf numFmtId="0" fontId="12" fillId="7" borderId="4">
      <alignment horizontal="left" vertical="center"/>
    </xf>
  </cellStyleXfs>
  <cellXfs count="30">
    <xf numFmtId="0" fontId="0" fillId="0" borderId="0" xfId="0"/>
    <xf numFmtId="0" fontId="7" fillId="2" borderId="2" xfId="0" applyFont="1" applyFill="1" applyBorder="1" applyAlignment="1">
      <alignment horizontal="center" vertical="center"/>
    </xf>
    <xf numFmtId="0" fontId="6" fillId="2" borderId="2" xfId="0" applyFont="1" applyFill="1" applyBorder="1" applyAlignment="1">
      <alignment horizontal="center" vertical="center"/>
    </xf>
    <xf numFmtId="0" fontId="0" fillId="2" borderId="2" xfId="0" applyFill="1" applyBorder="1"/>
    <xf numFmtId="0" fontId="0" fillId="2" borderId="1" xfId="0" applyFill="1" applyBorder="1"/>
    <xf numFmtId="0" fontId="1" fillId="4" borderId="4" xfId="0" applyFont="1" applyFill="1" applyBorder="1" applyAlignment="1">
      <alignment horizontal="center" vertical="center"/>
    </xf>
    <xf numFmtId="0" fontId="2" fillId="4" borderId="4" xfId="0" applyFont="1" applyFill="1" applyBorder="1" applyAlignment="1">
      <alignment horizontal="left" vertical="center"/>
    </xf>
    <xf numFmtId="0" fontId="2" fillId="7" borderId="4" xfId="0" applyFont="1" applyFill="1" applyBorder="1" applyAlignment="1">
      <alignment horizontal="left" vertical="center"/>
    </xf>
    <xf numFmtId="0" fontId="4" fillId="4" borderId="4" xfId="0" applyFont="1" applyFill="1" applyBorder="1" applyAlignment="1">
      <alignment horizontal="center" vertical="center"/>
    </xf>
    <xf numFmtId="0" fontId="1" fillId="6" borderId="4" xfId="0" applyFont="1" applyFill="1" applyBorder="1" applyAlignment="1">
      <alignment horizontal="center" vertical="center"/>
    </xf>
    <xf numFmtId="0" fontId="6" fillId="2" borderId="3" xfId="0" applyFont="1" applyFill="1" applyBorder="1" applyAlignment="1">
      <alignment horizontal="left" vertical="center"/>
    </xf>
    <xf numFmtId="0" fontId="9" fillId="0" borderId="0" xfId="0" applyFont="1" applyAlignment="1">
      <alignment horizontal="left"/>
    </xf>
    <xf numFmtId="0" fontId="10" fillId="2" borderId="4" xfId="0" applyFont="1" applyFill="1" applyBorder="1" applyAlignment="1">
      <alignment horizontal="left" vertical="center"/>
    </xf>
    <xf numFmtId="0" fontId="12" fillId="7" borderId="4" xfId="1" applyAlignment="1">
      <alignment horizontal="center" vertical="center"/>
    </xf>
    <xf numFmtId="0" fontId="0" fillId="8" borderId="7" xfId="0" applyFill="1" applyBorder="1"/>
    <xf numFmtId="0" fontId="0" fillId="8" borderId="8" xfId="0" applyFill="1" applyBorder="1"/>
    <xf numFmtId="0" fontId="14" fillId="4" borderId="9" xfId="0" applyFont="1" applyFill="1" applyBorder="1" applyAlignment="1">
      <alignment horizontal="center" vertical="center"/>
    </xf>
    <xf numFmtId="0" fontId="0" fillId="0" borderId="0" xfId="0" pivotButton="1"/>
    <xf numFmtId="0" fontId="0" fillId="0" borderId="0" xfId="0" applyAlignment="1">
      <alignment horizontal="left"/>
    </xf>
    <xf numFmtId="0" fontId="17" fillId="8" borderId="8" xfId="0" applyFont="1" applyFill="1" applyBorder="1"/>
    <xf numFmtId="0" fontId="10" fillId="2" borderId="4" xfId="0" applyFont="1" applyFill="1" applyBorder="1" applyAlignment="1">
      <alignment horizontal="center" vertical="center"/>
    </xf>
    <xf numFmtId="0" fontId="0" fillId="0" borderId="4" xfId="0" applyBorder="1" applyAlignment="1">
      <alignment wrapText="1"/>
    </xf>
    <xf numFmtId="0" fontId="15" fillId="4" borderId="10" xfId="0" applyFont="1" applyFill="1" applyBorder="1" applyAlignment="1">
      <alignment horizontal="center" vertical="center" wrapText="1"/>
    </xf>
    <xf numFmtId="0" fontId="16" fillId="9" borderId="10"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5" fillId="5" borderId="10"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1" fillId="3" borderId="5" xfId="0" applyFont="1" applyFill="1" applyBorder="1" applyAlignment="1">
      <alignment horizontal="center" vertical="center"/>
    </xf>
    <xf numFmtId="0" fontId="11" fillId="3" borderId="6" xfId="0" applyFont="1" applyFill="1" applyBorder="1" applyAlignment="1">
      <alignment horizontal="center" vertical="center"/>
    </xf>
  </cellXfs>
  <cellStyles count="2">
    <cellStyle name="Normal" xfId="0" builtinId="0"/>
    <cellStyle name="Style 1" xfId="1" xr:uid="{750C1143-A540-446E-9E8E-CD79887241BE}"/>
  </cellStyles>
  <dxfs count="27">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strike val="0"/>
        <color theme="9" tint="-0.24994659260841701"/>
      </font>
      <fill>
        <patternFill patternType="solid">
          <fgColor theme="9" tint="-0.499984740745262"/>
          <bgColor theme="9" tint="0.3999450666829432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rgb="FF000000"/>
        <name val="Arial"/>
        <charset val="1"/>
        <scheme val="none"/>
      </font>
      <fill>
        <patternFill patternType="solid">
          <fgColor rgb="FFFDECEA"/>
          <bgColor rgb="FFEAF2FF"/>
        </patternFill>
      </fill>
      <alignment horizontal="left" vertical="center" textRotation="0" wrapText="0" indent="0" justifyLastLine="0" shrinkToFit="0" readingOrder="0"/>
      <border diagonalUp="0" diagonalDown="0">
        <left style="thin">
          <color theme="3"/>
        </left>
        <right/>
        <top style="thin">
          <color theme="3"/>
        </top>
        <bottom style="thin">
          <color theme="3"/>
        </bottom>
        <vertical/>
        <horizontal/>
      </border>
    </dxf>
    <dxf>
      <font>
        <b/>
        <i val="0"/>
        <strike val="0"/>
        <condense val="0"/>
        <extend val="0"/>
        <outline val="0"/>
        <shadow val="0"/>
        <u val="none"/>
        <vertAlign val="baseline"/>
        <sz val="9"/>
        <color rgb="FFC0392B"/>
        <name val="Arial"/>
        <charset val="1"/>
        <scheme val="none"/>
      </font>
      <fill>
        <patternFill patternType="solid">
          <fgColor rgb="FFFEF3E2"/>
          <bgColor rgb="FFFDECEA"/>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i val="0"/>
        <strike val="0"/>
        <condense val="0"/>
        <extend val="0"/>
        <outline val="0"/>
        <shadow val="0"/>
        <u val="none"/>
        <vertAlign val="baseline"/>
        <sz val="10"/>
        <color rgb="FFC0392B"/>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i val="0"/>
        <strike val="0"/>
        <condense val="0"/>
        <extend val="0"/>
        <outline val="0"/>
        <shadow val="0"/>
        <u val="none"/>
        <vertAlign val="baseline"/>
        <sz val="10"/>
        <color rgb="FF000000"/>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rgb="FFAAAAAA"/>
        <name val="Arial"/>
        <charset val="1"/>
        <scheme val="none"/>
      </font>
      <fill>
        <patternFill patternType="solid">
          <fgColor indexed="64"/>
          <bgColor theme="9" tint="0.39997558519241921"/>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theme="1"/>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theme="1"/>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theme="1"/>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theme="1"/>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theme="1"/>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numFmt numFmtId="0" formatCode="General"/>
    </dxf>
    <dxf>
      <font>
        <b/>
        <i val="0"/>
        <strike val="0"/>
        <condense val="0"/>
        <extend val="0"/>
        <outline val="0"/>
        <shadow val="0"/>
        <u val="none"/>
        <vertAlign val="baseline"/>
        <sz val="10"/>
        <color rgb="FF000000"/>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rgb="FF000000"/>
        <name val="Arial"/>
        <charset val="1"/>
        <scheme val="none"/>
      </font>
      <fill>
        <patternFill patternType="solid">
          <fgColor rgb="FFFDECEA"/>
          <bgColor rgb="FFEAF2FF"/>
        </patternFill>
      </fill>
      <alignment horizontal="left"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val="0"/>
        <i val="0"/>
        <strike val="0"/>
        <condense val="0"/>
        <extend val="0"/>
        <outline val="0"/>
        <shadow val="0"/>
        <u val="none"/>
        <vertAlign val="baseline"/>
        <sz val="10"/>
        <color rgb="FF000000"/>
        <name val="Arial"/>
        <family val="2"/>
        <scheme val="none"/>
      </font>
      <fill>
        <patternFill patternType="solid">
          <fgColor rgb="FFFDECEA"/>
          <bgColor rgb="FFEAF2FF"/>
        </patternFill>
      </fill>
      <alignment horizontal="left" vertical="center" textRotation="0" wrapText="0" indent="0" justifyLastLine="0" shrinkToFit="0" readingOrder="0"/>
      <border diagonalUp="0" diagonalDown="0">
        <left style="thin">
          <color theme="3"/>
        </left>
        <right style="thin">
          <color theme="3"/>
        </right>
        <top style="thin">
          <color theme="3"/>
        </top>
        <bottom style="thin">
          <color theme="3"/>
        </bottom>
        <vertical/>
        <horizontal/>
      </border>
    </dxf>
    <dxf>
      <font>
        <b/>
        <i val="0"/>
        <strike val="0"/>
        <condense val="0"/>
        <extend val="0"/>
        <outline val="0"/>
        <shadow val="0"/>
        <u val="none"/>
        <vertAlign val="baseline"/>
        <sz val="10"/>
        <color rgb="FF000000"/>
        <name val="Arial"/>
        <charset val="1"/>
        <scheme val="none"/>
      </font>
      <fill>
        <patternFill patternType="solid">
          <fgColor rgb="FFFDECEA"/>
          <bgColor rgb="FFEAF2FF"/>
        </patternFill>
      </fill>
      <alignment horizontal="center" vertical="center" textRotation="0" wrapText="0" indent="0" justifyLastLine="0" shrinkToFit="0" readingOrder="0"/>
      <border diagonalUp="0" diagonalDown="0">
        <left/>
        <right style="thin">
          <color theme="3"/>
        </right>
        <top style="thin">
          <color theme="3"/>
        </top>
        <bottom style="thin">
          <color theme="3"/>
        </bottom>
        <vertical/>
        <horizontal/>
      </border>
    </dxf>
    <dxf>
      <border outline="0">
        <top style="thin">
          <color theme="3"/>
        </top>
      </border>
    </dxf>
    <dxf>
      <border outline="0">
        <left style="thin">
          <color theme="3"/>
        </left>
        <right style="thin">
          <color theme="3"/>
        </right>
        <top style="thin">
          <color theme="3"/>
        </top>
        <bottom style="thin">
          <color theme="3"/>
        </bottom>
      </border>
    </dxf>
    <dxf>
      <border outline="0">
        <bottom style="thin">
          <color theme="3"/>
        </bottom>
      </border>
    </dxf>
    <dxf>
      <font>
        <b val="0"/>
        <i val="0"/>
        <strike val="0"/>
        <condense val="0"/>
        <extend val="0"/>
        <outline val="0"/>
        <shadow val="0"/>
        <u val="none"/>
        <vertAlign val="baseline"/>
        <sz val="8"/>
        <color theme="0"/>
        <name val="Arial"/>
        <charset val="1"/>
        <scheme val="none"/>
      </font>
      <fill>
        <patternFill patternType="solid">
          <fgColor rgb="FF1A2B3C"/>
          <bgColor rgb="FF0D1B2A"/>
        </patternFill>
      </fill>
      <alignment horizontal="left" vertical="center" textRotation="0" wrapText="0" indent="0" justifyLastLine="0" shrinkToFit="0" readingOrder="0"/>
      <border diagonalUp="0" diagonalDown="0" outline="0">
        <left style="thin">
          <color theme="3"/>
        </left>
        <right style="thin">
          <color theme="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eetMetadata" Target="metadata.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[DIT 2ND.xlsx]Sheet1!PivotTable2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Sheet1!$V$3</c:f>
              <c:strCache>
                <c:ptCount val="1"/>
                <c:pt idx="0">
                  <c:v>Sum of TOTAL</c:v>
                </c:pt>
              </c:strCache>
            </c:strRef>
          </c:tx>
          <c:spPr>
            <a:solidFill>
              <a:schemeClr val="accent1"/>
            </a:solidFill>
            <a:ln>
              <a:noFill/>
            </a:ln>
            <a:effectLst/>
          </c:spPr>
          <c:invertIfNegative val="0"/>
          <c:cat>
            <c:strRef>
              <c:f>Sheet1!$U$4:$U$22</c:f>
              <c:strCache>
                <c:ptCount val="18"/>
                <c:pt idx="0">
                  <c:v>ABDUL RAFAY</c:v>
                </c:pt>
                <c:pt idx="1">
                  <c:v>ABDULLAH</c:v>
                </c:pt>
                <c:pt idx="2">
                  <c:v>AHMED ALI</c:v>
                </c:pt>
                <c:pt idx="3">
                  <c:v>AIMEN MUNEER</c:v>
                </c:pt>
                <c:pt idx="4">
                  <c:v>ASAD KHAN</c:v>
                </c:pt>
                <c:pt idx="5">
                  <c:v>FARHAN SHAKEEL</c:v>
                </c:pt>
                <c:pt idx="6">
                  <c:v>HUSSNAIN</c:v>
                </c:pt>
                <c:pt idx="7">
                  <c:v>ISMAIL</c:v>
                </c:pt>
                <c:pt idx="8">
                  <c:v>MAHAZ SALEEM</c:v>
                </c:pt>
                <c:pt idx="9">
                  <c:v>MALIK ANAS </c:v>
                </c:pt>
                <c:pt idx="10">
                  <c:v>MUHAMMAD UMER</c:v>
                </c:pt>
                <c:pt idx="11">
                  <c:v>NADIA</c:v>
                </c:pt>
                <c:pt idx="12">
                  <c:v>NATASHA</c:v>
                </c:pt>
                <c:pt idx="13">
                  <c:v>RAIZ</c:v>
                </c:pt>
                <c:pt idx="14">
                  <c:v>REHMAT ALI</c:v>
                </c:pt>
                <c:pt idx="15">
                  <c:v>SHOAIB AHMED</c:v>
                </c:pt>
                <c:pt idx="16">
                  <c:v>UROOJ</c:v>
                </c:pt>
                <c:pt idx="17">
                  <c:v>WASEEM</c:v>
                </c:pt>
              </c:strCache>
            </c:strRef>
          </c:cat>
          <c:val>
            <c:numRef>
              <c:f>Sheet1!$V$4:$V$22</c:f>
              <c:numCache>
                <c:formatCode>General</c:formatCode>
                <c:ptCount val="18"/>
                <c:pt idx="0">
                  <c:v>15000</c:v>
                </c:pt>
                <c:pt idx="1">
                  <c:v>30000</c:v>
                </c:pt>
                <c:pt idx="2">
                  <c:v>17100</c:v>
                </c:pt>
                <c:pt idx="3">
                  <c:v>16500</c:v>
                </c:pt>
                <c:pt idx="4">
                  <c:v>15000</c:v>
                </c:pt>
                <c:pt idx="5">
                  <c:v>15000</c:v>
                </c:pt>
                <c:pt idx="6">
                  <c:v>16000</c:v>
                </c:pt>
                <c:pt idx="7">
                  <c:v>15000</c:v>
                </c:pt>
                <c:pt idx="8">
                  <c:v>15000</c:v>
                </c:pt>
                <c:pt idx="9">
                  <c:v>15000</c:v>
                </c:pt>
                <c:pt idx="10">
                  <c:v>19000</c:v>
                </c:pt>
                <c:pt idx="11">
                  <c:v>15000</c:v>
                </c:pt>
                <c:pt idx="12">
                  <c:v>16500</c:v>
                </c:pt>
                <c:pt idx="13">
                  <c:v>15000</c:v>
                </c:pt>
                <c:pt idx="14">
                  <c:v>20000</c:v>
                </c:pt>
                <c:pt idx="15">
                  <c:v>15000</c:v>
                </c:pt>
                <c:pt idx="16">
                  <c:v>15000</c:v>
                </c:pt>
                <c:pt idx="17">
                  <c:v>15000</c:v>
                </c:pt>
              </c:numCache>
            </c:numRef>
          </c:val>
          <c:extLst>
            <c:ext xmlns:c16="http://schemas.microsoft.com/office/drawing/2014/chart" uri="{C3380CC4-5D6E-409C-BE32-E72D297353CC}">
              <c16:uniqueId val="{00000000-D77E-472B-A73B-B19D8EF0B13F}"/>
            </c:ext>
          </c:extLst>
        </c:ser>
        <c:ser>
          <c:idx val="1"/>
          <c:order val="1"/>
          <c:tx>
            <c:strRef>
              <c:f>Sheet1!$W$3</c:f>
              <c:strCache>
                <c:ptCount val="1"/>
                <c:pt idx="0">
                  <c:v>Sum of Total Paid</c:v>
                </c:pt>
              </c:strCache>
            </c:strRef>
          </c:tx>
          <c:spPr>
            <a:solidFill>
              <a:schemeClr val="accent2"/>
            </a:solidFill>
            <a:ln>
              <a:noFill/>
            </a:ln>
            <a:effectLst/>
          </c:spPr>
          <c:invertIfNegative val="0"/>
          <c:cat>
            <c:strRef>
              <c:f>Sheet1!$U$4:$U$22</c:f>
              <c:strCache>
                <c:ptCount val="18"/>
                <c:pt idx="0">
                  <c:v>ABDUL RAFAY</c:v>
                </c:pt>
                <c:pt idx="1">
                  <c:v>ABDULLAH</c:v>
                </c:pt>
                <c:pt idx="2">
                  <c:v>AHMED ALI</c:v>
                </c:pt>
                <c:pt idx="3">
                  <c:v>AIMEN MUNEER</c:v>
                </c:pt>
                <c:pt idx="4">
                  <c:v>ASAD KHAN</c:v>
                </c:pt>
                <c:pt idx="5">
                  <c:v>FARHAN SHAKEEL</c:v>
                </c:pt>
                <c:pt idx="6">
                  <c:v>HUSSNAIN</c:v>
                </c:pt>
                <c:pt idx="7">
                  <c:v>ISMAIL</c:v>
                </c:pt>
                <c:pt idx="8">
                  <c:v>MAHAZ SALEEM</c:v>
                </c:pt>
                <c:pt idx="9">
                  <c:v>MALIK ANAS </c:v>
                </c:pt>
                <c:pt idx="10">
                  <c:v>MUHAMMAD UMER</c:v>
                </c:pt>
                <c:pt idx="11">
                  <c:v>NADIA</c:v>
                </c:pt>
                <c:pt idx="12">
                  <c:v>NATASHA</c:v>
                </c:pt>
                <c:pt idx="13">
                  <c:v>RAIZ</c:v>
                </c:pt>
                <c:pt idx="14">
                  <c:v>REHMAT ALI</c:v>
                </c:pt>
                <c:pt idx="15">
                  <c:v>SHOAIB AHMED</c:v>
                </c:pt>
                <c:pt idx="16">
                  <c:v>UROOJ</c:v>
                </c:pt>
                <c:pt idx="17">
                  <c:v>WASEEM</c:v>
                </c:pt>
              </c:strCache>
            </c:strRef>
          </c:cat>
          <c:val>
            <c:numRef>
              <c:f>Sheet1!$W$4:$W$22</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2000</c:v>
                </c:pt>
                <c:pt idx="14">
                  <c:v>0</c:v>
                </c:pt>
                <c:pt idx="15">
                  <c:v>0</c:v>
                </c:pt>
                <c:pt idx="16">
                  <c:v>0</c:v>
                </c:pt>
                <c:pt idx="17">
                  <c:v>0</c:v>
                </c:pt>
              </c:numCache>
            </c:numRef>
          </c:val>
          <c:extLst>
            <c:ext xmlns:c16="http://schemas.microsoft.com/office/drawing/2014/chart" uri="{C3380CC4-5D6E-409C-BE32-E72D297353CC}">
              <c16:uniqueId val="{00000003-D77E-472B-A73B-B19D8EF0B13F}"/>
            </c:ext>
          </c:extLst>
        </c:ser>
        <c:ser>
          <c:idx val="2"/>
          <c:order val="2"/>
          <c:tx>
            <c:strRef>
              <c:f>Sheet1!$X$3</c:f>
              <c:strCache>
                <c:ptCount val="1"/>
                <c:pt idx="0">
                  <c:v>Sum of Balance</c:v>
                </c:pt>
              </c:strCache>
            </c:strRef>
          </c:tx>
          <c:spPr>
            <a:solidFill>
              <a:schemeClr val="accent3"/>
            </a:solidFill>
            <a:ln>
              <a:noFill/>
            </a:ln>
            <a:effectLst/>
          </c:spPr>
          <c:invertIfNegative val="0"/>
          <c:cat>
            <c:strRef>
              <c:f>Sheet1!$U$4:$U$22</c:f>
              <c:strCache>
                <c:ptCount val="18"/>
                <c:pt idx="0">
                  <c:v>ABDUL RAFAY</c:v>
                </c:pt>
                <c:pt idx="1">
                  <c:v>ABDULLAH</c:v>
                </c:pt>
                <c:pt idx="2">
                  <c:v>AHMED ALI</c:v>
                </c:pt>
                <c:pt idx="3">
                  <c:v>AIMEN MUNEER</c:v>
                </c:pt>
                <c:pt idx="4">
                  <c:v>ASAD KHAN</c:v>
                </c:pt>
                <c:pt idx="5">
                  <c:v>FARHAN SHAKEEL</c:v>
                </c:pt>
                <c:pt idx="6">
                  <c:v>HUSSNAIN</c:v>
                </c:pt>
                <c:pt idx="7">
                  <c:v>ISMAIL</c:v>
                </c:pt>
                <c:pt idx="8">
                  <c:v>MAHAZ SALEEM</c:v>
                </c:pt>
                <c:pt idx="9">
                  <c:v>MALIK ANAS </c:v>
                </c:pt>
                <c:pt idx="10">
                  <c:v>MUHAMMAD UMER</c:v>
                </c:pt>
                <c:pt idx="11">
                  <c:v>NADIA</c:v>
                </c:pt>
                <c:pt idx="12">
                  <c:v>NATASHA</c:v>
                </c:pt>
                <c:pt idx="13">
                  <c:v>RAIZ</c:v>
                </c:pt>
                <c:pt idx="14">
                  <c:v>REHMAT ALI</c:v>
                </c:pt>
                <c:pt idx="15">
                  <c:v>SHOAIB AHMED</c:v>
                </c:pt>
                <c:pt idx="16">
                  <c:v>UROOJ</c:v>
                </c:pt>
                <c:pt idx="17">
                  <c:v>WASEEM</c:v>
                </c:pt>
              </c:strCache>
            </c:strRef>
          </c:cat>
          <c:val>
            <c:numRef>
              <c:f>Sheet1!$X$4:$X$22</c:f>
              <c:numCache>
                <c:formatCode>General</c:formatCode>
                <c:ptCount val="18"/>
                <c:pt idx="0">
                  <c:v>15000</c:v>
                </c:pt>
                <c:pt idx="1">
                  <c:v>30000</c:v>
                </c:pt>
                <c:pt idx="2">
                  <c:v>15000</c:v>
                </c:pt>
                <c:pt idx="3">
                  <c:v>15000</c:v>
                </c:pt>
                <c:pt idx="4">
                  <c:v>15000</c:v>
                </c:pt>
                <c:pt idx="5">
                  <c:v>15000</c:v>
                </c:pt>
                <c:pt idx="6">
                  <c:v>15000</c:v>
                </c:pt>
                <c:pt idx="7">
                  <c:v>15000</c:v>
                </c:pt>
                <c:pt idx="8">
                  <c:v>15000</c:v>
                </c:pt>
                <c:pt idx="9">
                  <c:v>15000</c:v>
                </c:pt>
                <c:pt idx="10">
                  <c:v>15000</c:v>
                </c:pt>
                <c:pt idx="11">
                  <c:v>15000</c:v>
                </c:pt>
                <c:pt idx="12">
                  <c:v>15000</c:v>
                </c:pt>
                <c:pt idx="13">
                  <c:v>13000</c:v>
                </c:pt>
                <c:pt idx="14">
                  <c:v>15000</c:v>
                </c:pt>
                <c:pt idx="15">
                  <c:v>15000</c:v>
                </c:pt>
                <c:pt idx="16">
                  <c:v>15000</c:v>
                </c:pt>
                <c:pt idx="17">
                  <c:v>15000</c:v>
                </c:pt>
              </c:numCache>
            </c:numRef>
          </c:val>
          <c:extLst>
            <c:ext xmlns:c16="http://schemas.microsoft.com/office/drawing/2014/chart" uri="{C3380CC4-5D6E-409C-BE32-E72D297353CC}">
              <c16:uniqueId val="{00000004-D77E-472B-A73B-B19D8EF0B13F}"/>
            </c:ext>
          </c:extLst>
        </c:ser>
        <c:dLbls>
          <c:showLegendKey val="0"/>
          <c:showVal val="0"/>
          <c:showCatName val="0"/>
          <c:showSerName val="0"/>
          <c:showPercent val="0"/>
          <c:showBubbleSize val="0"/>
        </c:dLbls>
        <c:gapWidth val="219"/>
        <c:overlap val="-27"/>
        <c:axId val="558873440"/>
        <c:axId val="539840944"/>
      </c:barChart>
      <c:catAx>
        <c:axId val="55887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39840944"/>
        <c:crosses val="autoZero"/>
        <c:auto val="1"/>
        <c:lblAlgn val="ctr"/>
        <c:lblOffset val="100"/>
        <c:noMultiLvlLbl val="0"/>
      </c:catAx>
      <c:valAx>
        <c:axId val="53984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5887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314324</xdr:colOff>
      <xdr:row>32</xdr:row>
      <xdr:rowOff>180975</xdr:rowOff>
    </xdr:from>
    <xdr:to>
      <xdr:col>16</xdr:col>
      <xdr:colOff>295274</xdr:colOff>
      <xdr:row>58</xdr:row>
      <xdr:rowOff>180975</xdr:rowOff>
    </xdr:to>
    <xdr:graphicFrame macro="">
      <xdr:nvGraphicFramePr>
        <xdr:cNvPr id="2" name="Chart 1">
          <a:extLst>
            <a:ext uri="{FF2B5EF4-FFF2-40B4-BE49-F238E27FC236}">
              <a16:creationId xmlns:a16="http://schemas.microsoft.com/office/drawing/2014/main" id="{840E2E3A-4197-4F83-24B5-248FF5ED8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66675</xdr:colOff>
      <xdr:row>2</xdr:row>
      <xdr:rowOff>19050</xdr:rowOff>
    </xdr:from>
    <xdr:to>
      <xdr:col>26</xdr:col>
      <xdr:colOff>219075</xdr:colOff>
      <xdr:row>22</xdr:row>
      <xdr:rowOff>28575</xdr:rowOff>
    </xdr:to>
    <mc:AlternateContent xmlns:mc="http://schemas.openxmlformats.org/markup-compatibility/2006" xmlns:a14="http://schemas.microsoft.com/office/drawing/2010/main">
      <mc:Choice Requires="a14">
        <xdr:graphicFrame macro="">
          <xdr:nvGraphicFramePr>
            <xdr:cNvPr id="3" name="Student Name">
              <a:extLst>
                <a:ext uri="{FF2B5EF4-FFF2-40B4-BE49-F238E27FC236}">
                  <a16:creationId xmlns:a16="http://schemas.microsoft.com/office/drawing/2014/main" id="{B94906F1-B7E5-AED2-A25A-21B74D80862F}"/>
                </a:ext>
              </a:extLst>
            </xdr:cNvPr>
            <xdr:cNvGraphicFramePr/>
          </xdr:nvGraphicFramePr>
          <xdr:xfrm>
            <a:off x="0" y="0"/>
            <a:ext cx="0" cy="0"/>
          </xdr:xfrm>
          <a:graphic>
            <a:graphicData uri="http://schemas.microsoft.com/office/drawing/2010/slicer">
              <sle:slicer xmlns:sle="http://schemas.microsoft.com/office/drawing/2010/slicer" name="Student Name"/>
            </a:graphicData>
          </a:graphic>
        </xdr:graphicFrame>
      </mc:Choice>
      <mc:Fallback xmlns="">
        <xdr:sp macro="" textlink="">
          <xdr:nvSpPr>
            <xdr:cNvPr id="0" name=""/>
            <xdr:cNvSpPr>
              <a:spLocks noTextEdit="1"/>
            </xdr:cNvSpPr>
          </xdr:nvSpPr>
          <xdr:spPr>
            <a:xfrm>
              <a:off x="15306675" y="733425"/>
              <a:ext cx="1428750" cy="38195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I ATD" refreshedDate="46300.518368865742" createdVersion="8" refreshedVersion="8" minRefreshableVersion="3" recordCount="19" xr:uid="{213F08C5-3AD9-468E-AA82-8377939EDCB1}">
  <cacheSource type="worksheet">
    <worksheetSource ref="B3:P22" sheet="Sheet1"/>
  </cacheSource>
  <cacheFields count="15">
    <cacheField name="Student Name" numFmtId="0">
      <sharedItems count="18">
        <s v="NATASHA"/>
        <s v="UROOJ"/>
        <s v="NADIA"/>
        <s v="AIMEN MUNEER"/>
        <s v="ABDULLAH"/>
        <s v="MAHAZ SALEEM"/>
        <s v="FARHAN SHAKEEL"/>
        <s v="ISMAIL"/>
        <s v="WASEEM"/>
        <s v="MUHAMMAD UMER"/>
        <s v="AHMED ALI"/>
        <s v="HUSSNAIN"/>
        <s v="SHOAIB AHMED"/>
        <s v="ASAD KHAN"/>
        <s v="ABDUL RAFAY"/>
        <s v="REHMAT ALI"/>
        <s v="MALIK ANAS "/>
        <s v="RAIZ"/>
      </sharedItems>
    </cacheField>
    <cacheField name="Father Name" numFmtId="0">
      <sharedItems containsBlank="1" count="19">
        <s v="RASHEED"/>
        <s v="M Shamraiz"/>
        <s v="Tufail Ahmed"/>
        <s v="Muneer Hussain"/>
        <s v="M Rafique"/>
        <s v="M Saleem"/>
        <s v="Shakeel Ahmad"/>
        <s v="Khushal"/>
        <s v="Liaqat"/>
        <s v="Khaqan"/>
        <s v="Nawaz"/>
        <s v="Haroon ur Rasheed"/>
        <s v="Faisal"/>
        <s v="Hafeez ur Rehman"/>
        <s v="Abdul Munir"/>
        <m/>
        <s v="m zafar"/>
        <s v="Muhammad Haneef"/>
        <s v="Naimat Khan"/>
      </sharedItems>
    </cacheField>
    <cacheField name="Total Fee" numFmtId="0">
      <sharedItems containsSemiMixedTypes="0" containsString="0" containsNumber="1" containsInteger="1" minValue="15000" maxValue="15000"/>
    </cacheField>
    <cacheField name="PREVIOUS" numFmtId="0">
      <sharedItems containsSemiMixedTypes="0" containsString="0" containsNumber="1" containsInteger="1" minValue="0" maxValue="5000"/>
    </cacheField>
    <cacheField name="TOTAL" numFmtId="0">
      <sharedItems containsSemiMixedTypes="0" containsString="0" containsNumber="1" containsInteger="1" minValue="15000" maxValue="20000"/>
    </cacheField>
    <cacheField name="SEP" numFmtId="0">
      <sharedItems containsString="0" containsBlank="1" containsNumber="1" containsInteger="1" minValue="2000" maxValue="2000"/>
    </cacheField>
    <cacheField name="OCT" numFmtId="0">
      <sharedItems containsNonDate="0" containsString="0" containsBlank="1" count="1">
        <m/>
      </sharedItems>
    </cacheField>
    <cacheField name="NOV" numFmtId="0">
      <sharedItems containsNonDate="0" containsString="0" containsBlank="1" count="1">
        <m/>
      </sharedItems>
    </cacheField>
    <cacheField name="DEC" numFmtId="0">
      <sharedItems containsNonDate="0" containsString="0" containsBlank="1" count="1">
        <m/>
      </sharedItems>
    </cacheField>
    <cacheField name="JAN" numFmtId="0">
      <sharedItems containsNonDate="0" containsString="0" containsBlank="1" count="1">
        <m/>
      </sharedItems>
    </cacheField>
    <cacheField name="FEB" numFmtId="0">
      <sharedItems containsNonDate="0" containsString="0" containsBlank="1"/>
    </cacheField>
    <cacheField name="Exam" numFmtId="0">
      <sharedItems containsNonDate="0" containsString="0" containsBlank="1"/>
    </cacheField>
    <cacheField name="Total Paid" numFmtId="0">
      <sharedItems containsSemiMixedTypes="0" containsString="0" containsNumber="1" containsInteger="1" minValue="0" maxValue="2000"/>
    </cacheField>
    <cacheField name="Balance" numFmtId="0">
      <sharedItems containsSemiMixedTypes="0" containsString="0" containsNumber="1" containsInteger="1" minValue="13000" maxValue="15000"/>
    </cacheField>
    <cacheField name="Status" numFmtId="0">
      <sharedItems containsNonDate="0" containsString="0" containsBlank="1"/>
    </cacheField>
  </cacheFields>
  <extLst>
    <ext xmlns:x14="http://schemas.microsoft.com/office/spreadsheetml/2009/9/main" uri="{725AE2AE-9491-48be-B2B4-4EB974FC3084}">
      <x14:pivotCacheDefinition pivotCacheId="1585037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x v="0"/>
    <n v="15000"/>
    <n v="1500"/>
    <n v="16500"/>
    <m/>
    <x v="0"/>
    <x v="0"/>
    <x v="0"/>
    <x v="0"/>
    <m/>
    <m/>
    <n v="0"/>
    <n v="15000"/>
    <m/>
  </r>
  <r>
    <x v="1"/>
    <x v="1"/>
    <n v="15000"/>
    <n v="0"/>
    <n v="15000"/>
    <m/>
    <x v="0"/>
    <x v="0"/>
    <x v="0"/>
    <x v="0"/>
    <m/>
    <m/>
    <n v="0"/>
    <n v="15000"/>
    <m/>
  </r>
  <r>
    <x v="2"/>
    <x v="2"/>
    <n v="15000"/>
    <n v="0"/>
    <n v="15000"/>
    <m/>
    <x v="0"/>
    <x v="0"/>
    <x v="0"/>
    <x v="0"/>
    <m/>
    <m/>
    <n v="0"/>
    <n v="15000"/>
    <m/>
  </r>
  <r>
    <x v="3"/>
    <x v="3"/>
    <n v="15000"/>
    <n v="1500"/>
    <n v="16500"/>
    <m/>
    <x v="0"/>
    <x v="0"/>
    <x v="0"/>
    <x v="0"/>
    <m/>
    <m/>
    <n v="0"/>
    <n v="15000"/>
    <m/>
  </r>
  <r>
    <x v="4"/>
    <x v="4"/>
    <n v="15000"/>
    <n v="0"/>
    <n v="15000"/>
    <m/>
    <x v="0"/>
    <x v="0"/>
    <x v="0"/>
    <x v="0"/>
    <m/>
    <m/>
    <n v="0"/>
    <n v="15000"/>
    <m/>
  </r>
  <r>
    <x v="5"/>
    <x v="5"/>
    <n v="15000"/>
    <n v="0"/>
    <n v="15000"/>
    <m/>
    <x v="0"/>
    <x v="0"/>
    <x v="0"/>
    <x v="0"/>
    <m/>
    <m/>
    <n v="0"/>
    <n v="15000"/>
    <m/>
  </r>
  <r>
    <x v="6"/>
    <x v="6"/>
    <n v="15000"/>
    <n v="0"/>
    <n v="15000"/>
    <m/>
    <x v="0"/>
    <x v="0"/>
    <x v="0"/>
    <x v="0"/>
    <m/>
    <m/>
    <n v="0"/>
    <n v="15000"/>
    <m/>
  </r>
  <r>
    <x v="7"/>
    <x v="7"/>
    <n v="15000"/>
    <n v="0"/>
    <n v="15000"/>
    <m/>
    <x v="0"/>
    <x v="0"/>
    <x v="0"/>
    <x v="0"/>
    <m/>
    <m/>
    <n v="0"/>
    <n v="15000"/>
    <m/>
  </r>
  <r>
    <x v="8"/>
    <x v="8"/>
    <n v="15000"/>
    <n v="0"/>
    <n v="15000"/>
    <m/>
    <x v="0"/>
    <x v="0"/>
    <x v="0"/>
    <x v="0"/>
    <m/>
    <m/>
    <n v="0"/>
    <n v="15000"/>
    <m/>
  </r>
  <r>
    <x v="9"/>
    <x v="9"/>
    <n v="15000"/>
    <n v="4000"/>
    <n v="19000"/>
    <m/>
    <x v="0"/>
    <x v="0"/>
    <x v="0"/>
    <x v="0"/>
    <m/>
    <m/>
    <n v="0"/>
    <n v="15000"/>
    <m/>
  </r>
  <r>
    <x v="10"/>
    <x v="10"/>
    <n v="15000"/>
    <n v="2100"/>
    <n v="17100"/>
    <m/>
    <x v="0"/>
    <x v="0"/>
    <x v="0"/>
    <x v="0"/>
    <m/>
    <m/>
    <n v="0"/>
    <n v="15000"/>
    <m/>
  </r>
  <r>
    <x v="11"/>
    <x v="11"/>
    <n v="15000"/>
    <n v="1000"/>
    <n v="16000"/>
    <m/>
    <x v="0"/>
    <x v="0"/>
    <x v="0"/>
    <x v="0"/>
    <m/>
    <m/>
    <n v="0"/>
    <n v="15000"/>
    <m/>
  </r>
  <r>
    <x v="12"/>
    <x v="12"/>
    <n v="15000"/>
    <n v="0"/>
    <n v="15000"/>
    <m/>
    <x v="0"/>
    <x v="0"/>
    <x v="0"/>
    <x v="0"/>
    <m/>
    <m/>
    <n v="0"/>
    <n v="15000"/>
    <m/>
  </r>
  <r>
    <x v="13"/>
    <x v="13"/>
    <n v="15000"/>
    <n v="0"/>
    <n v="15000"/>
    <m/>
    <x v="0"/>
    <x v="0"/>
    <x v="0"/>
    <x v="0"/>
    <m/>
    <m/>
    <n v="0"/>
    <n v="15000"/>
    <m/>
  </r>
  <r>
    <x v="4"/>
    <x v="14"/>
    <n v="15000"/>
    <n v="0"/>
    <n v="15000"/>
    <m/>
    <x v="0"/>
    <x v="0"/>
    <x v="0"/>
    <x v="0"/>
    <m/>
    <m/>
    <n v="0"/>
    <n v="15000"/>
    <m/>
  </r>
  <r>
    <x v="14"/>
    <x v="15"/>
    <n v="15000"/>
    <n v="0"/>
    <n v="15000"/>
    <m/>
    <x v="0"/>
    <x v="0"/>
    <x v="0"/>
    <x v="0"/>
    <m/>
    <m/>
    <n v="0"/>
    <n v="15000"/>
    <m/>
  </r>
  <r>
    <x v="15"/>
    <x v="16"/>
    <n v="15000"/>
    <n v="5000"/>
    <n v="20000"/>
    <m/>
    <x v="0"/>
    <x v="0"/>
    <x v="0"/>
    <x v="0"/>
    <m/>
    <m/>
    <n v="0"/>
    <n v="15000"/>
    <m/>
  </r>
  <r>
    <x v="16"/>
    <x v="17"/>
    <n v="15000"/>
    <n v="0"/>
    <n v="15000"/>
    <m/>
    <x v="0"/>
    <x v="0"/>
    <x v="0"/>
    <x v="0"/>
    <m/>
    <m/>
    <n v="0"/>
    <n v="15000"/>
    <m/>
  </r>
  <r>
    <x v="17"/>
    <x v="18"/>
    <n v="15000"/>
    <n v="0"/>
    <n v="15000"/>
    <n v="2000"/>
    <x v="0"/>
    <x v="0"/>
    <x v="0"/>
    <x v="0"/>
    <m/>
    <m/>
    <n v="2000"/>
    <n v="13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2ACF4-6601-4272-A2E9-6C086BA053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3:X22" firstHeaderRow="0" firstDataRow="1" firstDataCol="1"/>
  <pivotFields count="15">
    <pivotField axis="axisRow" showAll="0">
      <items count="19">
        <item x="14"/>
        <item x="4"/>
        <item x="10"/>
        <item x="3"/>
        <item x="13"/>
        <item x="6"/>
        <item x="11"/>
        <item x="7"/>
        <item x="5"/>
        <item x="16"/>
        <item x="9"/>
        <item x="2"/>
        <item x="0"/>
        <item x="17"/>
        <item x="15"/>
        <item x="12"/>
        <item x="1"/>
        <item x="8"/>
        <item t="default"/>
      </items>
    </pivotField>
    <pivotField showAll="0">
      <items count="20">
        <item x="14"/>
        <item x="12"/>
        <item x="13"/>
        <item x="11"/>
        <item x="9"/>
        <item x="7"/>
        <item x="8"/>
        <item x="4"/>
        <item x="5"/>
        <item x="1"/>
        <item x="16"/>
        <item x="17"/>
        <item x="3"/>
        <item x="18"/>
        <item x="10"/>
        <item x="0"/>
        <item x="6"/>
        <item x="2"/>
        <item x="15"/>
        <item t="default"/>
      </items>
    </pivotField>
    <pivotField showAll="0"/>
    <pivotField showAll="0"/>
    <pivotField dataField="1" showAll="0"/>
    <pivotField showAll="0"/>
    <pivotField showAll="0">
      <items count="2">
        <item x="0"/>
        <item t="default"/>
      </items>
    </pivotField>
    <pivotField showAll="0">
      <items count="2">
        <item x="0"/>
        <item t="default"/>
      </items>
    </pivotField>
    <pivotField showAll="0">
      <items count="2">
        <item x="0"/>
        <item t="default"/>
      </items>
    </pivotField>
    <pivotField showAll="0">
      <items count="2">
        <item x="0"/>
        <item t="default"/>
      </items>
    </pivotField>
    <pivotField showAll="0"/>
    <pivotField showAll="0"/>
    <pivotField dataField="1" showAll="0"/>
    <pivotField dataField="1" showAll="0"/>
    <pivotField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3">
    <i>
      <x/>
    </i>
    <i i="1">
      <x v="1"/>
    </i>
    <i i="2">
      <x v="2"/>
    </i>
  </colItems>
  <dataFields count="3">
    <dataField name="Sum of TOTAL" fld="4" baseField="0" baseItem="0"/>
    <dataField name="Sum of Total Paid" fld="12" baseField="0" baseItem="0"/>
    <dataField name="Sum of Balance" fld="13" baseField="0" baseItem="0"/>
  </dataField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3CDD38AC-73C9-4ACD-B03A-6B15867F4F44}" sourceName="Student Name">
  <pivotTables>
    <pivotTable tabId="1" name="PivotTable2"/>
  </pivotTables>
  <data>
    <tabular pivotCacheId="1585037450">
      <items count="18">
        <i x="14" s="1"/>
        <i x="4" s="1"/>
        <i x="10" s="1"/>
        <i x="3" s="1"/>
        <i x="13" s="1"/>
        <i x="6" s="1"/>
        <i x="11" s="1"/>
        <i x="7" s="1"/>
        <i x="5" s="1"/>
        <i x="16" s="1"/>
        <i x="9" s="1"/>
        <i x="2" s="1"/>
        <i x="0" s="1"/>
        <i x="17" s="1"/>
        <i x="15" s="1"/>
        <i x="12" s="1"/>
        <i x="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 Name" xr10:uid="{7A121A8B-5718-4405-8026-F62A17E340C9}" cache="Slicer_Student_Name" caption="Studen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FF0098-E62B-4E4A-83B1-0BEDE3CCFE3F}" name="Table1" displayName="Table1" ref="A3:Q23" totalsRowShown="0" headerRowDxfId="26" headerRowBorderDxfId="25" tableBorderDxfId="24" totalsRowBorderDxfId="23">
  <autoFilter ref="A3:Q23" xr:uid="{78FF0098-E62B-4E4A-83B1-0BEDE3CCFE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0650B51D-B86B-4751-9E8C-3507DFB45FA6}" name="S.No" dataDxfId="22"/>
    <tableColumn id="2" xr3:uid="{54FABB9B-5EFD-4D2F-BEDB-DC61D31B6B8F}" name="Student Name" dataDxfId="21"/>
    <tableColumn id="3" xr3:uid="{A41FE72E-C6C4-491A-A450-5D1A2188193F}" name="Father Name" dataDxfId="20"/>
    <tableColumn id="4" xr3:uid="{D51BA78E-7812-4F4E-B867-7419E3894501}" name="Total Fee" dataDxfId="19"/>
    <tableColumn id="6" xr3:uid="{9D14B310-F24A-4209-A9A1-6ED41E577B92}" name="PREVIOUS"/>
    <tableColumn id="5" xr3:uid="{16147904-EB32-49E3-966A-A7F87AE376C5}" name="TOTAL" dataDxfId="18">
      <calculatedColumnFormula>SUM(Table1[[#This Row],[Total Fee]:[PREVIOUS]])</calculatedColumnFormula>
    </tableColumn>
    <tableColumn id="9" xr3:uid="{75F75B5C-D687-4386-8FB3-4CA5FED0B877}" name="SEP" dataDxfId="17"/>
    <tableColumn id="10" xr3:uid="{CEB7FCFB-E120-468C-A4C8-9A9E839D3CDA}" name="OCT" dataDxfId="16"/>
    <tableColumn id="11" xr3:uid="{46534AC6-824A-4426-A7B6-49100C92A85F}" name="NOV" dataDxfId="15"/>
    <tableColumn id="12" xr3:uid="{3D5ED7F2-BF75-4D45-9F60-887DD27C6DBC}" name="DEC" dataDxfId="14"/>
    <tableColumn id="13" xr3:uid="{1E816BD8-6183-435F-AA4D-0875354B3C91}" name="JAN" dataDxfId="13"/>
    <tableColumn id="22" xr3:uid="{6068AB4E-B455-43FA-8975-F63DC6FCDFB6}" name="FEB"/>
    <tableColumn id="16" xr3:uid="{167ACAC1-138F-426E-80C8-819DEBB4ADD6}" name="Exam" dataDxfId="12"/>
    <tableColumn id="17" xr3:uid="{7B5344F3-A861-4C50-945A-4E3E8465F167}" name="Total Paid" dataDxfId="11"/>
    <tableColumn id="18" xr3:uid="{4A4AB287-64EC-43A2-8426-DEEC8CCFA423}" name="Balance" dataDxfId="10"/>
    <tableColumn id="20" xr3:uid="{23E91DBA-1804-436A-9665-22D3FF105C41}" name="Status" dataDxfId="9"/>
    <tableColumn id="21" xr3:uid="{22028592-AF03-4552-B191-7000309B50AD}" name="Contact" dataDxfId="8"/>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95A4E2A-09A6-4A54-A39C-527303762185}">
  <we:reference id="wa200005502" version="1.0.0.13" store="en-US" storeType="OMEX"/>
  <we:alternateReferences>
    <we:reference id="WA200005502" version="1.0.0.13" store="" storeType="OMEX"/>
  </we:alternateReferences>
  <we:properties>
    <we:property name="docId" value="&quot;K4Glu1cm5Nx_V9ZCuxL4U&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6"/>
  <sheetViews>
    <sheetView tabSelected="1" workbookViewId="0">
      <selection activeCell="H9" sqref="H9"/>
    </sheetView>
  </sheetViews>
  <sheetFormatPr defaultRowHeight="15" x14ac:dyDescent="0.25"/>
  <cols>
    <col min="1" max="1" width="6.85546875" customWidth="1"/>
    <col min="2" max="2" width="15.85546875" bestFit="1" customWidth="1"/>
    <col min="3" max="3" width="18.7109375" bestFit="1" customWidth="1"/>
    <col min="4" max="4" width="8.28515625" bestFit="1" customWidth="1"/>
    <col min="5" max="5" width="9.42578125" bestFit="1" customWidth="1"/>
    <col min="6" max="6" width="7" bestFit="1" customWidth="1"/>
    <col min="7" max="8" width="5" bestFit="1" customWidth="1"/>
    <col min="9" max="9" width="4.5703125" bestFit="1" customWidth="1"/>
    <col min="10" max="11" width="4.28515625" bestFit="1" customWidth="1"/>
    <col min="12" max="12" width="4" bestFit="1" customWidth="1"/>
    <col min="13" max="13" width="5.5703125" bestFit="1" customWidth="1"/>
    <col min="14" max="14" width="9" bestFit="1" customWidth="1"/>
    <col min="16" max="16" width="8.42578125" bestFit="1" customWidth="1"/>
    <col min="17" max="17" width="13" customWidth="1"/>
    <col min="21" max="21" width="18.42578125" bestFit="1" customWidth="1"/>
    <col min="22" max="22" width="13.28515625" bestFit="1" customWidth="1"/>
    <col min="23" max="23" width="16.42578125" bestFit="1" customWidth="1"/>
    <col min="24" max="24" width="14.5703125" bestFit="1" customWidth="1"/>
    <col min="25" max="25" width="12.140625" bestFit="1" customWidth="1"/>
    <col min="26" max="30" width="7" bestFit="1" customWidth="1"/>
    <col min="31" max="31" width="7.28515625" bestFit="1" customWidth="1"/>
    <col min="32" max="32" width="9.85546875" bestFit="1" customWidth="1"/>
    <col min="33" max="38" width="12.140625" bestFit="1" customWidth="1"/>
    <col min="39" max="39" width="9.85546875" bestFit="1" customWidth="1"/>
    <col min="40" max="40" width="7.28515625" bestFit="1" customWidth="1"/>
    <col min="41" max="41" width="7" bestFit="1" customWidth="1"/>
    <col min="42" max="48" width="12.140625" bestFit="1" customWidth="1"/>
    <col min="49" max="49" width="11.28515625" bestFit="1" customWidth="1"/>
    <col min="50" max="50" width="17.42578125" bestFit="1" customWidth="1"/>
    <col min="51" max="51" width="21.5703125" bestFit="1" customWidth="1"/>
    <col min="52" max="53" width="19.5703125" bestFit="1" customWidth="1"/>
  </cols>
  <sheetData>
    <row r="1" spans="1:33" ht="41.25" customHeight="1" x14ac:dyDescent="0.25">
      <c r="A1" s="26" t="s">
        <v>20</v>
      </c>
      <c r="B1" s="27"/>
      <c r="C1" s="27"/>
      <c r="D1" s="27"/>
      <c r="E1" s="27"/>
      <c r="F1" s="27"/>
      <c r="G1" s="27"/>
      <c r="H1" s="27"/>
      <c r="I1" s="27"/>
      <c r="J1" s="27"/>
      <c r="K1" s="27"/>
      <c r="L1" s="27"/>
      <c r="M1" s="27"/>
      <c r="N1" s="27"/>
      <c r="O1" s="27"/>
      <c r="P1" s="27"/>
      <c r="Q1" s="27"/>
    </row>
    <row r="2" spans="1:33" x14ac:dyDescent="0.25">
      <c r="A2" s="28" t="s">
        <v>0</v>
      </c>
      <c r="B2" s="29"/>
      <c r="C2" s="29"/>
      <c r="D2" s="29"/>
      <c r="E2" s="29"/>
      <c r="F2" s="29"/>
      <c r="G2" s="29"/>
      <c r="H2" s="29"/>
      <c r="I2" s="29"/>
      <c r="J2" s="29"/>
      <c r="K2" s="29"/>
      <c r="L2" s="29"/>
      <c r="M2" s="29"/>
      <c r="N2" s="29"/>
      <c r="O2" s="29"/>
      <c r="P2" s="29"/>
      <c r="Q2" s="29"/>
    </row>
    <row r="3" spans="1:33" s="11" customFormat="1" x14ac:dyDescent="0.25">
      <c r="A3" s="12" t="s">
        <v>1</v>
      </c>
      <c r="B3" s="12" t="s">
        <v>2</v>
      </c>
      <c r="C3" s="12" t="s">
        <v>3</v>
      </c>
      <c r="D3" s="12" t="s">
        <v>4</v>
      </c>
      <c r="E3" s="12" t="s">
        <v>18</v>
      </c>
      <c r="F3" s="20" t="s">
        <v>19</v>
      </c>
      <c r="G3" s="20" t="s">
        <v>5</v>
      </c>
      <c r="H3" s="20" t="s">
        <v>6</v>
      </c>
      <c r="I3" s="20" t="s">
        <v>7</v>
      </c>
      <c r="J3" s="20" t="s">
        <v>8</v>
      </c>
      <c r="K3" s="20" t="s">
        <v>9</v>
      </c>
      <c r="L3" s="20" t="s">
        <v>10</v>
      </c>
      <c r="M3" s="20" t="s">
        <v>11</v>
      </c>
      <c r="N3" s="12" t="s">
        <v>12</v>
      </c>
      <c r="O3" s="12" t="s">
        <v>13</v>
      </c>
      <c r="P3" s="20" t="s">
        <v>14</v>
      </c>
      <c r="Q3" s="12" t="s">
        <v>15</v>
      </c>
      <c r="U3" s="17" t="s">
        <v>58</v>
      </c>
      <c r="V3" t="s">
        <v>60</v>
      </c>
      <c r="W3" t="s">
        <v>61</v>
      </c>
      <c r="X3" t="s">
        <v>62</v>
      </c>
      <c r="Y3"/>
      <c r="Z3"/>
      <c r="AA3"/>
      <c r="AB3"/>
      <c r="AC3"/>
      <c r="AD3"/>
      <c r="AE3"/>
      <c r="AF3"/>
      <c r="AG3"/>
    </row>
    <row r="4" spans="1:33" x14ac:dyDescent="0.25">
      <c r="A4" s="5">
        <v>1</v>
      </c>
      <c r="B4" s="19" t="s">
        <v>17</v>
      </c>
      <c r="C4" s="19" t="s">
        <v>56</v>
      </c>
      <c r="D4" s="6">
        <v>15000</v>
      </c>
      <c r="E4" s="13">
        <v>1500</v>
      </c>
      <c r="F4" s="7">
        <f>SUM(Table1[[#This Row],[Total Fee]:[PREVIOUS]])</f>
        <v>16500</v>
      </c>
      <c r="G4" s="21"/>
      <c r="H4" s="21"/>
      <c r="I4" s="21"/>
      <c r="J4" s="21"/>
      <c r="K4" s="21"/>
      <c r="L4" s="21"/>
      <c r="M4" s="21"/>
      <c r="N4" s="5">
        <f t="shared" ref="N4:N21" si="0">SUM(G4:M4)</f>
        <v>0</v>
      </c>
      <c r="O4" s="8">
        <f t="shared" ref="O4:O21" si="1">D4-N4</f>
        <v>15000</v>
      </c>
      <c r="P4" s="25" t="str">
        <f>IF(Table1[[#This Row],[Total Paid]]=0,"Unpaid",IF(Table1[[#This Row],[Balance]]=0,"Cleared",IF(Table1[[#This Row],[Total Paid]]/Table1[[#This Row],[Balance]]&gt;=0.5,"Partial","Low Paid")))</f>
        <v>Unpaid</v>
      </c>
      <c r="Q4" s="14" t="s">
        <v>37</v>
      </c>
      <c r="U4" s="18" t="s">
        <v>34</v>
      </c>
      <c r="V4">
        <v>15000</v>
      </c>
      <c r="W4">
        <v>0</v>
      </c>
      <c r="X4">
        <v>15000</v>
      </c>
    </row>
    <row r="5" spans="1:33" x14ac:dyDescent="0.25">
      <c r="A5" s="5">
        <v>2</v>
      </c>
      <c r="B5" s="19" t="s">
        <v>21</v>
      </c>
      <c r="C5" s="19" t="s">
        <v>64</v>
      </c>
      <c r="D5" s="6">
        <v>9000</v>
      </c>
      <c r="E5" s="13">
        <v>0</v>
      </c>
      <c r="F5" s="7">
        <f>SUM(Table1[[#This Row],[Total Fee]:[PREVIOUS]])</f>
        <v>9000</v>
      </c>
      <c r="G5" s="21"/>
      <c r="H5" s="21"/>
      <c r="I5" s="21"/>
      <c r="J5" s="21"/>
      <c r="K5" s="21"/>
      <c r="L5" s="21"/>
      <c r="M5" s="21"/>
      <c r="N5" s="5">
        <f t="shared" si="0"/>
        <v>0</v>
      </c>
      <c r="O5" s="8">
        <f t="shared" si="1"/>
        <v>9000</v>
      </c>
      <c r="P5" s="25" t="str">
        <f>IF(Table1[[#This Row],[Total Paid]]=0,"Unpaid",IF(Table1[[#This Row],[Balance]]=0,"Cleared",IF(Table1[[#This Row],[Total Paid]]/Table1[[#This Row],[Balance]]&gt;=0.5,"Partial","Low Paid")))</f>
        <v>Unpaid</v>
      </c>
      <c r="Q5" s="14" t="s">
        <v>38</v>
      </c>
      <c r="U5" s="18" t="s">
        <v>24</v>
      </c>
      <c r="V5">
        <v>30000</v>
      </c>
      <c r="W5">
        <v>0</v>
      </c>
      <c r="X5">
        <v>30000</v>
      </c>
    </row>
    <row r="6" spans="1:33" x14ac:dyDescent="0.25">
      <c r="A6" s="5">
        <v>3</v>
      </c>
      <c r="B6" s="19" t="s">
        <v>22</v>
      </c>
      <c r="C6" s="19" t="s">
        <v>65</v>
      </c>
      <c r="D6" s="6">
        <v>15000</v>
      </c>
      <c r="E6" s="13">
        <v>0</v>
      </c>
      <c r="F6" s="7">
        <f>SUM(Table1[[#This Row],[Total Fee]:[PREVIOUS]])</f>
        <v>15000</v>
      </c>
      <c r="G6" s="21"/>
      <c r="H6" s="21"/>
      <c r="I6" s="21"/>
      <c r="J6" s="21"/>
      <c r="K6" s="21"/>
      <c r="L6" s="21"/>
      <c r="M6" s="21"/>
      <c r="N6" s="9">
        <f t="shared" si="0"/>
        <v>0</v>
      </c>
      <c r="O6" s="8">
        <f t="shared" si="1"/>
        <v>15000</v>
      </c>
      <c r="P6" s="25" t="str">
        <f>IF(Table1[[#This Row],[Total Paid]]=0,"Unpaid",IF(Table1[[#This Row],[Balance]]=0,"Cleared",IF(Table1[[#This Row],[Total Paid]]/Table1[[#This Row],[Balance]]&gt;=0.5,"Partial","Low Paid")))</f>
        <v>Unpaid</v>
      </c>
      <c r="Q6" s="14" t="s">
        <v>37</v>
      </c>
      <c r="U6" s="18" t="s">
        <v>30</v>
      </c>
      <c r="V6">
        <v>17100</v>
      </c>
      <c r="W6">
        <v>0</v>
      </c>
      <c r="X6">
        <v>15000</v>
      </c>
    </row>
    <row r="7" spans="1:33" x14ac:dyDescent="0.25">
      <c r="A7" s="5">
        <v>4</v>
      </c>
      <c r="B7" s="19" t="s">
        <v>23</v>
      </c>
      <c r="C7" s="19" t="s">
        <v>66</v>
      </c>
      <c r="D7" s="6">
        <v>15000</v>
      </c>
      <c r="E7" s="13">
        <v>1500</v>
      </c>
      <c r="F7" s="7">
        <f>SUM(Table1[[#This Row],[Total Fee]:[PREVIOUS]])</f>
        <v>16500</v>
      </c>
      <c r="G7" s="21"/>
      <c r="H7" s="21"/>
      <c r="I7" s="21"/>
      <c r="J7" s="21"/>
      <c r="K7" s="21"/>
      <c r="L7" s="21"/>
      <c r="M7" s="21"/>
      <c r="N7" s="5">
        <f t="shared" si="0"/>
        <v>0</v>
      </c>
      <c r="O7" s="8">
        <f t="shared" si="1"/>
        <v>15000</v>
      </c>
      <c r="P7" s="25" t="str">
        <f>IF(Table1[[#This Row],[Total Paid]]=0,"Unpaid",IF(Table1[[#This Row],[Balance]]=0,"Cleared",IF(Table1[[#This Row],[Total Paid]]/Table1[[#This Row],[Balance]]&gt;=0.5,"Partial","Low Paid")))</f>
        <v>Unpaid</v>
      </c>
      <c r="Q7" s="14" t="s">
        <v>39</v>
      </c>
      <c r="U7" s="18" t="s">
        <v>23</v>
      </c>
      <c r="V7">
        <v>16500</v>
      </c>
      <c r="W7">
        <v>0</v>
      </c>
      <c r="X7">
        <v>15000</v>
      </c>
    </row>
    <row r="8" spans="1:33" x14ac:dyDescent="0.25">
      <c r="A8" s="5">
        <v>5</v>
      </c>
      <c r="B8" s="19" t="s">
        <v>24</v>
      </c>
      <c r="C8" s="19" t="s">
        <v>67</v>
      </c>
      <c r="D8" s="6">
        <v>15000</v>
      </c>
      <c r="E8" s="13">
        <v>0</v>
      </c>
      <c r="F8" s="7">
        <f>SUM(Table1[[#This Row],[Total Fee]:[PREVIOUS]])</f>
        <v>15000</v>
      </c>
      <c r="G8" s="21"/>
      <c r="H8" s="21"/>
      <c r="I8" s="21"/>
      <c r="J8" s="21"/>
      <c r="K8" s="21"/>
      <c r="L8" s="21"/>
      <c r="M8" s="21"/>
      <c r="N8" s="9">
        <f t="shared" si="0"/>
        <v>0</v>
      </c>
      <c r="O8" s="8">
        <f t="shared" si="1"/>
        <v>15000</v>
      </c>
      <c r="P8" s="25" t="str">
        <f>IF(Table1[[#This Row],[Total Paid]]=0,"Unpaid",IF(Table1[[#This Row],[Balance]]=0,"Cleared",IF(Table1[[#This Row],[Total Paid]]/Table1[[#This Row],[Balance]]&gt;=0.5,"Partial","Low Paid")))</f>
        <v>Unpaid</v>
      </c>
      <c r="Q8" s="14" t="s">
        <v>40</v>
      </c>
      <c r="U8" s="18" t="s">
        <v>33</v>
      </c>
      <c r="V8">
        <v>15000</v>
      </c>
      <c r="W8">
        <v>0</v>
      </c>
      <c r="X8">
        <v>15000</v>
      </c>
    </row>
    <row r="9" spans="1:33" x14ac:dyDescent="0.25">
      <c r="A9" s="5">
        <v>6</v>
      </c>
      <c r="B9" s="19" t="s">
        <v>25</v>
      </c>
      <c r="C9" s="19" t="s">
        <v>68</v>
      </c>
      <c r="D9" s="6">
        <v>12000</v>
      </c>
      <c r="E9" s="13">
        <v>0</v>
      </c>
      <c r="F9" s="7">
        <f>SUM(Table1[[#This Row],[Total Fee]:[PREVIOUS]])</f>
        <v>12000</v>
      </c>
      <c r="G9" s="21">
        <v>2000</v>
      </c>
      <c r="H9" s="21"/>
      <c r="I9" s="21"/>
      <c r="J9" s="21"/>
      <c r="K9" s="21"/>
      <c r="L9" s="21"/>
      <c r="M9" s="21"/>
      <c r="N9" s="9">
        <f t="shared" si="0"/>
        <v>2000</v>
      </c>
      <c r="O9" s="8">
        <f t="shared" si="1"/>
        <v>10000</v>
      </c>
      <c r="P9" s="25" t="str">
        <f>IF(Table1[[#This Row],[Total Paid]]=0,"Unpaid",IF(Table1[[#This Row],[Balance]]=0,"Cleared",IF(Table1[[#This Row],[Total Paid]]/Table1[[#This Row],[Balance]]&gt;=0.5,"Partial","Low Paid")))</f>
        <v>Low Paid</v>
      </c>
      <c r="Q9" s="14" t="s">
        <v>41</v>
      </c>
      <c r="U9" s="18" t="s">
        <v>26</v>
      </c>
      <c r="V9">
        <v>15000</v>
      </c>
      <c r="W9">
        <v>0</v>
      </c>
      <c r="X9">
        <v>15000</v>
      </c>
    </row>
    <row r="10" spans="1:33" x14ac:dyDescent="0.25">
      <c r="A10" s="5">
        <v>7</v>
      </c>
      <c r="B10" s="19" t="s">
        <v>26</v>
      </c>
      <c r="C10" s="19" t="s">
        <v>69</v>
      </c>
      <c r="D10" s="6">
        <v>15000</v>
      </c>
      <c r="E10" s="13">
        <v>0</v>
      </c>
      <c r="F10" s="7">
        <f>SUM(Table1[[#This Row],[Total Fee]:[PREVIOUS]])</f>
        <v>15000</v>
      </c>
      <c r="G10" s="21">
        <v>2500</v>
      </c>
      <c r="H10" s="21">
        <v>2500</v>
      </c>
      <c r="I10" s="21"/>
      <c r="J10" s="21"/>
      <c r="K10" s="21"/>
      <c r="L10" s="21"/>
      <c r="M10" s="21"/>
      <c r="N10" s="5">
        <f t="shared" si="0"/>
        <v>5000</v>
      </c>
      <c r="O10" s="8">
        <f t="shared" si="1"/>
        <v>10000</v>
      </c>
      <c r="P10" s="25" t="str">
        <f>IF(Table1[[#This Row],[Total Paid]]=0,"Unpaid",IF(Table1[[#This Row],[Balance]]=0,"Cleared",IF(Table1[[#This Row],[Total Paid]]/Table1[[#This Row],[Balance]]&gt;=0.5,"Partial","Low Paid")))</f>
        <v>Partial</v>
      </c>
      <c r="Q10" s="14" t="s">
        <v>42</v>
      </c>
      <c r="U10" s="18" t="s">
        <v>31</v>
      </c>
      <c r="V10">
        <v>16000</v>
      </c>
      <c r="W10">
        <v>0</v>
      </c>
      <c r="X10">
        <v>15000</v>
      </c>
    </row>
    <row r="11" spans="1:33" x14ac:dyDescent="0.25">
      <c r="A11" s="5">
        <v>8</v>
      </c>
      <c r="B11" s="19" t="s">
        <v>27</v>
      </c>
      <c r="C11" s="19" t="s">
        <v>70</v>
      </c>
      <c r="D11" s="6">
        <v>15000</v>
      </c>
      <c r="E11" s="13">
        <v>0</v>
      </c>
      <c r="F11" s="7">
        <f>SUM(Table1[[#This Row],[Total Fee]:[PREVIOUS]])</f>
        <v>15000</v>
      </c>
      <c r="G11" s="21"/>
      <c r="H11" s="21"/>
      <c r="I11" s="21"/>
      <c r="J11" s="21"/>
      <c r="K11" s="21"/>
      <c r="L11" s="21"/>
      <c r="M11" s="21"/>
      <c r="N11" s="9">
        <f t="shared" si="0"/>
        <v>0</v>
      </c>
      <c r="O11" s="8">
        <f t="shared" si="1"/>
        <v>15000</v>
      </c>
      <c r="P11" s="25" t="str">
        <f>IF(Table1[[#This Row],[Total Paid]]=0,"Unpaid",IF(Table1[[#This Row],[Balance]]=0,"Cleared",IF(Table1[[#This Row],[Total Paid]]/Table1[[#This Row],[Balance]]&gt;=0.5,"Partial","Low Paid")))</f>
        <v>Unpaid</v>
      </c>
      <c r="Q11" s="14" t="s">
        <v>43</v>
      </c>
      <c r="U11" s="18" t="s">
        <v>27</v>
      </c>
      <c r="V11">
        <v>15000</v>
      </c>
      <c r="W11">
        <v>0</v>
      </c>
      <c r="X11">
        <v>15000</v>
      </c>
    </row>
    <row r="12" spans="1:33" x14ac:dyDescent="0.25">
      <c r="A12" s="5">
        <v>9</v>
      </c>
      <c r="B12" s="19" t="s">
        <v>28</v>
      </c>
      <c r="C12" s="19" t="s">
        <v>71</v>
      </c>
      <c r="D12" s="6">
        <v>15000</v>
      </c>
      <c r="E12" s="13">
        <v>0</v>
      </c>
      <c r="F12" s="7">
        <f>SUM(Table1[[#This Row],[Total Fee]:[PREVIOUS]])</f>
        <v>15000</v>
      </c>
      <c r="G12" s="21"/>
      <c r="H12" s="21"/>
      <c r="I12" s="21"/>
      <c r="J12" s="21"/>
      <c r="K12" s="21"/>
      <c r="L12" s="21"/>
      <c r="M12" s="21"/>
      <c r="N12" s="5">
        <f t="shared" si="0"/>
        <v>0</v>
      </c>
      <c r="O12" s="8">
        <f t="shared" si="1"/>
        <v>15000</v>
      </c>
      <c r="P12" s="25" t="str">
        <f>IF(Table1[[#This Row],[Total Paid]]=0,"Unpaid",IF(Table1[[#This Row],[Balance]]=0,"Cleared",IF(Table1[[#This Row],[Total Paid]]/Table1[[#This Row],[Balance]]&gt;=0.5,"Partial","Low Paid")))</f>
        <v>Unpaid</v>
      </c>
      <c r="Q12" s="14" t="s">
        <v>44</v>
      </c>
      <c r="U12" s="18" t="s">
        <v>25</v>
      </c>
      <c r="V12">
        <v>15000</v>
      </c>
      <c r="W12">
        <v>0</v>
      </c>
      <c r="X12">
        <v>15000</v>
      </c>
    </row>
    <row r="13" spans="1:33" x14ac:dyDescent="0.25">
      <c r="A13" s="5">
        <v>10</v>
      </c>
      <c r="B13" s="19" t="s">
        <v>29</v>
      </c>
      <c r="C13" s="19" t="s">
        <v>72</v>
      </c>
      <c r="D13" s="6">
        <v>15000</v>
      </c>
      <c r="E13" s="13">
        <v>4000</v>
      </c>
      <c r="F13" s="7">
        <f>SUM(Table1[[#This Row],[Total Fee]:[PREVIOUS]])</f>
        <v>19000</v>
      </c>
      <c r="G13" s="21"/>
      <c r="H13" s="21"/>
      <c r="I13" s="21"/>
      <c r="J13" s="21"/>
      <c r="K13" s="21"/>
      <c r="L13" s="21"/>
      <c r="M13" s="21"/>
      <c r="N13" s="9">
        <f t="shared" si="0"/>
        <v>0</v>
      </c>
      <c r="O13" s="8">
        <f t="shared" si="1"/>
        <v>15000</v>
      </c>
      <c r="P13" s="25" t="str">
        <f>IF(Table1[[#This Row],[Total Paid]]=0,"Unpaid",IF(Table1[[#This Row],[Balance]]=0,"Cleared",IF(Table1[[#This Row],[Total Paid]]/Table1[[#This Row],[Balance]]&gt;=0.5,"Partial","Low Paid")))</f>
        <v>Unpaid</v>
      </c>
      <c r="Q13" s="14" t="s">
        <v>45</v>
      </c>
      <c r="U13" s="18" t="s">
        <v>55</v>
      </c>
      <c r="V13">
        <v>15000</v>
      </c>
      <c r="W13">
        <v>0</v>
      </c>
      <c r="X13">
        <v>15000</v>
      </c>
    </row>
    <row r="14" spans="1:33" x14ac:dyDescent="0.25">
      <c r="A14" s="5">
        <v>11</v>
      </c>
      <c r="B14" s="19" t="s">
        <v>30</v>
      </c>
      <c r="C14" s="19" t="s">
        <v>73</v>
      </c>
      <c r="D14" s="6">
        <v>12000</v>
      </c>
      <c r="E14" s="13">
        <v>2100</v>
      </c>
      <c r="F14" s="7">
        <f>SUM(Table1[[#This Row],[Total Fee]:[PREVIOUS]])</f>
        <v>14100</v>
      </c>
      <c r="G14" s="21"/>
      <c r="H14" s="21"/>
      <c r="I14" s="21"/>
      <c r="J14" s="21"/>
      <c r="K14" s="21"/>
      <c r="L14" s="21"/>
      <c r="M14" s="21"/>
      <c r="N14" s="9">
        <f t="shared" si="0"/>
        <v>0</v>
      </c>
      <c r="O14" s="8">
        <f t="shared" si="1"/>
        <v>12000</v>
      </c>
      <c r="P14" s="25" t="str">
        <f>IF(Table1[[#This Row],[Total Paid]]=0,"Unpaid",IF(Table1[[#This Row],[Balance]]=0,"Cleared",IF(Table1[[#This Row],[Total Paid]]/Table1[[#This Row],[Balance]]&gt;=0.5,"Partial","Low Paid")))</f>
        <v>Unpaid</v>
      </c>
      <c r="Q14" s="14" t="s">
        <v>46</v>
      </c>
      <c r="U14" s="18" t="s">
        <v>29</v>
      </c>
      <c r="V14">
        <v>19000</v>
      </c>
      <c r="W14">
        <v>0</v>
      </c>
      <c r="X14">
        <v>15000</v>
      </c>
    </row>
    <row r="15" spans="1:33" x14ac:dyDescent="0.25">
      <c r="A15" s="5">
        <v>12</v>
      </c>
      <c r="B15" s="19" t="s">
        <v>31</v>
      </c>
      <c r="C15" s="19" t="s">
        <v>74</v>
      </c>
      <c r="D15" s="6">
        <v>12000</v>
      </c>
      <c r="E15" s="13">
        <v>0</v>
      </c>
      <c r="F15" s="7">
        <f>SUM(Table1[[#This Row],[Total Fee]:[PREVIOUS]])</f>
        <v>12000</v>
      </c>
      <c r="G15" s="21"/>
      <c r="H15" s="21"/>
      <c r="I15" s="21"/>
      <c r="J15" s="21"/>
      <c r="K15" s="21"/>
      <c r="L15" s="21"/>
      <c r="M15" s="21"/>
      <c r="N15" s="5">
        <f t="shared" si="0"/>
        <v>0</v>
      </c>
      <c r="O15" s="8">
        <f t="shared" si="1"/>
        <v>12000</v>
      </c>
      <c r="P15" s="25" t="str">
        <f>IF(Table1[[#This Row],[Total Paid]]=0,"Unpaid",IF(Table1[[#This Row],[Balance]]=0,"Cleared",IF(Table1[[#This Row],[Total Paid]]/Table1[[#This Row],[Balance]]&gt;=0.5,"Partial","Low Paid")))</f>
        <v>Unpaid</v>
      </c>
      <c r="Q15" s="14" t="s">
        <v>47</v>
      </c>
      <c r="U15" s="18" t="s">
        <v>22</v>
      </c>
      <c r="V15">
        <v>15000</v>
      </c>
      <c r="W15">
        <v>0</v>
      </c>
      <c r="X15">
        <v>15000</v>
      </c>
    </row>
    <row r="16" spans="1:33" x14ac:dyDescent="0.25">
      <c r="A16" s="5">
        <v>13</v>
      </c>
      <c r="B16" s="19" t="s">
        <v>32</v>
      </c>
      <c r="C16" s="19" t="s">
        <v>75</v>
      </c>
      <c r="D16" s="6">
        <v>15000</v>
      </c>
      <c r="E16" s="13">
        <v>0</v>
      </c>
      <c r="F16" s="7">
        <f>SUM(Table1[[#This Row],[Total Fee]:[PREVIOUS]])</f>
        <v>15000</v>
      </c>
      <c r="G16" s="21">
        <v>2000</v>
      </c>
      <c r="H16" s="21"/>
      <c r="I16" s="21"/>
      <c r="J16" s="21"/>
      <c r="K16" s="21"/>
      <c r="L16" s="21"/>
      <c r="M16" s="21"/>
      <c r="N16" s="9">
        <f t="shared" si="0"/>
        <v>2000</v>
      </c>
      <c r="O16" s="8">
        <f t="shared" si="1"/>
        <v>13000</v>
      </c>
      <c r="P16" s="25" t="str">
        <f>IF(Table1[[#This Row],[Total Paid]]=0,"Unpaid",IF(Table1[[#This Row],[Balance]]=0,"Cleared",IF(Table1[[#This Row],[Total Paid]]/Table1[[#This Row],[Balance]]&gt;=0.5,"Partial","Low Paid")))</f>
        <v>Low Paid</v>
      </c>
      <c r="Q16" s="14" t="s">
        <v>48</v>
      </c>
      <c r="U16" s="18" t="s">
        <v>17</v>
      </c>
      <c r="V16">
        <v>16500</v>
      </c>
      <c r="W16">
        <v>0</v>
      </c>
      <c r="X16">
        <v>15000</v>
      </c>
    </row>
    <row r="17" spans="1:24" x14ac:dyDescent="0.25">
      <c r="A17" s="5">
        <v>14</v>
      </c>
      <c r="B17" s="19" t="s">
        <v>33</v>
      </c>
      <c r="C17" s="19" t="s">
        <v>76</v>
      </c>
      <c r="D17" s="6">
        <v>15000</v>
      </c>
      <c r="E17" s="13">
        <v>0</v>
      </c>
      <c r="F17" s="7">
        <f>SUM(Table1[[#This Row],[Total Fee]:[PREVIOUS]])</f>
        <v>15000</v>
      </c>
      <c r="G17" s="21"/>
      <c r="H17" s="21"/>
      <c r="I17" s="21"/>
      <c r="J17" s="21"/>
      <c r="K17" s="21"/>
      <c r="L17" s="21"/>
      <c r="M17" s="21"/>
      <c r="N17" s="5">
        <f t="shared" si="0"/>
        <v>0</v>
      </c>
      <c r="O17" s="8">
        <f t="shared" si="1"/>
        <v>15000</v>
      </c>
      <c r="P17" s="25" t="str">
        <f>IF(Table1[[#This Row],[Total Paid]]=0,"Unpaid",IF(Table1[[#This Row],[Balance]]=0,"Cleared",IF(Table1[[#This Row],[Total Paid]]/Table1[[#This Row],[Balance]]&gt;=0.5,"Partial","Low Paid")))</f>
        <v>Unpaid</v>
      </c>
      <c r="Q17" s="14" t="s">
        <v>49</v>
      </c>
      <c r="U17" s="18" t="s">
        <v>36</v>
      </c>
      <c r="V17">
        <v>15000</v>
      </c>
      <c r="W17">
        <v>2000</v>
      </c>
      <c r="X17">
        <v>13000</v>
      </c>
    </row>
    <row r="18" spans="1:24" x14ac:dyDescent="0.25">
      <c r="A18" s="5">
        <v>15</v>
      </c>
      <c r="B18" s="19" t="s">
        <v>24</v>
      </c>
      <c r="C18" s="19" t="s">
        <v>77</v>
      </c>
      <c r="D18" s="6">
        <v>15000</v>
      </c>
      <c r="E18" s="13">
        <v>0</v>
      </c>
      <c r="F18" s="7">
        <f>SUM(Table1[[#This Row],[Total Fee]:[PREVIOUS]])</f>
        <v>15000</v>
      </c>
      <c r="G18" s="21">
        <v>2500</v>
      </c>
      <c r="H18" s="21"/>
      <c r="I18" s="21"/>
      <c r="J18" s="21"/>
      <c r="K18" s="21"/>
      <c r="L18" s="21"/>
      <c r="M18" s="21"/>
      <c r="N18" s="5">
        <f t="shared" si="0"/>
        <v>2500</v>
      </c>
      <c r="O18" s="8">
        <f t="shared" si="1"/>
        <v>12500</v>
      </c>
      <c r="P18" s="25" t="str">
        <f>IF(Table1[[#This Row],[Total Paid]]=0,"Unpaid",IF(Table1[[#This Row],[Balance]]=0,"Cleared",IF(Table1[[#This Row],[Total Paid]]/Table1[[#This Row],[Balance]]&gt;=0.5,"Partial","Low Paid")))</f>
        <v>Low Paid</v>
      </c>
      <c r="Q18" s="14" t="s">
        <v>50</v>
      </c>
      <c r="U18" s="18" t="s">
        <v>35</v>
      </c>
      <c r="V18">
        <v>20000</v>
      </c>
      <c r="W18">
        <v>0</v>
      </c>
      <c r="X18">
        <v>15000</v>
      </c>
    </row>
    <row r="19" spans="1:24" x14ac:dyDescent="0.25">
      <c r="A19" s="5">
        <v>16</v>
      </c>
      <c r="B19" s="19" t="s">
        <v>34</v>
      </c>
      <c r="C19" s="6" t="s">
        <v>78</v>
      </c>
      <c r="D19" s="6">
        <v>15000</v>
      </c>
      <c r="E19" s="13">
        <v>0</v>
      </c>
      <c r="F19" s="7">
        <f>SUM(Table1[[#This Row],[Total Fee]:[PREVIOUS]])</f>
        <v>15000</v>
      </c>
      <c r="G19" s="21">
        <v>2500</v>
      </c>
      <c r="H19" s="21"/>
      <c r="I19" s="21"/>
      <c r="J19" s="21"/>
      <c r="K19" s="21"/>
      <c r="L19" s="21"/>
      <c r="M19" s="21"/>
      <c r="N19" s="5">
        <f t="shared" si="0"/>
        <v>2500</v>
      </c>
      <c r="O19" s="8">
        <f t="shared" si="1"/>
        <v>12500</v>
      </c>
      <c r="P19" s="25" t="str">
        <f>IF(Table1[[#This Row],[Total Paid]]=0,"Unpaid",IF(Table1[[#This Row],[Balance]]=0,"Cleared",IF(Table1[[#This Row],[Total Paid]]/Table1[[#This Row],[Balance]]&gt;=0.5,"Partial","Low Paid")))</f>
        <v>Low Paid</v>
      </c>
      <c r="Q19" s="14" t="s">
        <v>51</v>
      </c>
      <c r="U19" s="18" t="s">
        <v>32</v>
      </c>
      <c r="V19">
        <v>15000</v>
      </c>
      <c r="W19">
        <v>0</v>
      </c>
      <c r="X19">
        <v>15000</v>
      </c>
    </row>
    <row r="20" spans="1:24" x14ac:dyDescent="0.25">
      <c r="A20" s="5">
        <v>17</v>
      </c>
      <c r="B20" s="19" t="s">
        <v>35</v>
      </c>
      <c r="C20" s="19" t="s">
        <v>79</v>
      </c>
      <c r="D20" s="6">
        <v>15000</v>
      </c>
      <c r="E20" s="13">
        <v>0</v>
      </c>
      <c r="F20" s="7">
        <f>SUM(Table1[[#This Row],[Total Fee]:[PREVIOUS]])</f>
        <v>15000</v>
      </c>
      <c r="G20" s="21">
        <v>2500</v>
      </c>
      <c r="H20" s="21">
        <v>2500</v>
      </c>
      <c r="I20" s="21"/>
      <c r="J20" s="21"/>
      <c r="K20" s="21"/>
      <c r="L20" s="21"/>
      <c r="M20" s="21"/>
      <c r="N20" s="5">
        <f t="shared" si="0"/>
        <v>5000</v>
      </c>
      <c r="O20" s="8">
        <f t="shared" si="1"/>
        <v>10000</v>
      </c>
      <c r="P20" s="25" t="str">
        <f>IF(Table1[[#This Row],[Total Paid]]=0,"Unpaid",IF(Table1[[#This Row],[Balance]]=0,"Cleared",IF(Table1[[#This Row],[Total Paid]]/Table1[[#This Row],[Balance]]&gt;=0.5,"Partial","Low Paid")))</f>
        <v>Partial</v>
      </c>
      <c r="Q20" s="14" t="s">
        <v>52</v>
      </c>
      <c r="U20" s="18" t="s">
        <v>21</v>
      </c>
      <c r="V20">
        <v>15000</v>
      </c>
      <c r="W20">
        <v>0</v>
      </c>
      <c r="X20">
        <v>15000</v>
      </c>
    </row>
    <row r="21" spans="1:24" x14ac:dyDescent="0.25">
      <c r="A21" s="16">
        <v>18</v>
      </c>
      <c r="B21" s="19" t="s">
        <v>55</v>
      </c>
      <c r="C21" s="19" t="s">
        <v>80</v>
      </c>
      <c r="D21" s="6">
        <v>15000</v>
      </c>
      <c r="E21" s="13">
        <v>0</v>
      </c>
      <c r="F21" s="7">
        <f>SUM(Table1[[#This Row],[Total Fee]:[PREVIOUS]])</f>
        <v>15000</v>
      </c>
      <c r="G21" s="22"/>
      <c r="H21" s="22"/>
      <c r="I21" s="22"/>
      <c r="J21" s="22"/>
      <c r="K21" s="22"/>
      <c r="L21" s="21"/>
      <c r="M21" s="23"/>
      <c r="N21" s="5">
        <f t="shared" si="0"/>
        <v>0</v>
      </c>
      <c r="O21" s="8">
        <f t="shared" si="1"/>
        <v>15000</v>
      </c>
      <c r="P21" s="25" t="str">
        <f>IF(Table1[[#This Row],[Total Paid]]=0,"Unpaid",IF(Table1[[#This Row],[Balance]]=0,"Cleared",IF(Table1[[#This Row],[Total Paid]]/Table1[[#This Row],[Balance]]&gt;=0.5,"Partial","Low Paid")))</f>
        <v>Unpaid</v>
      </c>
      <c r="Q21" s="14" t="s">
        <v>57</v>
      </c>
      <c r="U21" s="18" t="s">
        <v>28</v>
      </c>
      <c r="V21">
        <v>15000</v>
      </c>
      <c r="W21">
        <v>0</v>
      </c>
      <c r="X21">
        <v>15000</v>
      </c>
    </row>
    <row r="22" spans="1:24" x14ac:dyDescent="0.25">
      <c r="A22" s="5">
        <v>19</v>
      </c>
      <c r="B22" s="19" t="s">
        <v>63</v>
      </c>
      <c r="C22" s="19" t="s">
        <v>81</v>
      </c>
      <c r="D22" s="6">
        <v>12000</v>
      </c>
      <c r="E22" s="13">
        <v>0</v>
      </c>
      <c r="F22" s="7">
        <f>SUM(Table1[[#This Row],[Total Fee]:[PREVIOUS]])</f>
        <v>12000</v>
      </c>
      <c r="G22" s="24">
        <v>2000</v>
      </c>
      <c r="H22" s="24"/>
      <c r="I22" s="24"/>
      <c r="J22" s="24"/>
      <c r="K22" s="24"/>
      <c r="L22" s="21"/>
      <c r="M22" s="21"/>
      <c r="N22" s="5">
        <f t="shared" ref="N22" si="2">SUM(G22:M22)</f>
        <v>2000</v>
      </c>
      <c r="O22" s="8">
        <f>D22-N22</f>
        <v>10000</v>
      </c>
      <c r="P22" s="25" t="str">
        <f>IF(Table1[[#This Row],[Total Paid]]=0,"Unpaid",IF(Table1[[#This Row],[Balance]]=0,"Cleared",IF(Table1[[#This Row],[Total Paid]]/Table1[[#This Row],[Balance]]&gt;=0.5,"Partial","Low Paid")))</f>
        <v>Low Paid</v>
      </c>
      <c r="Q22" s="14" t="s">
        <v>53</v>
      </c>
      <c r="U22" s="18" t="s">
        <v>59</v>
      </c>
      <c r="V22">
        <v>300100</v>
      </c>
      <c r="W22">
        <v>2000</v>
      </c>
      <c r="X22">
        <v>283000</v>
      </c>
    </row>
    <row r="23" spans="1:24" x14ac:dyDescent="0.25">
      <c r="A23" s="10" t="s">
        <v>16</v>
      </c>
      <c r="B23" s="2"/>
      <c r="C23" s="2"/>
      <c r="D23" s="1">
        <f>SUM(D4:D22)</f>
        <v>267000</v>
      </c>
      <c r="E23" s="1"/>
      <c r="F23" s="1">
        <f>SUM(F4:F22)</f>
        <v>276100</v>
      </c>
      <c r="G23" s="1">
        <f>SUM(G4:G17)</f>
        <v>6500</v>
      </c>
      <c r="H23" s="1">
        <f>SUM(H4:H17)</f>
        <v>2500</v>
      </c>
      <c r="I23" s="1">
        <f>SUM(I4:I17)</f>
        <v>0</v>
      </c>
      <c r="J23" s="1">
        <f>SUM(J4:J17)</f>
        <v>0</v>
      </c>
      <c r="K23" s="1">
        <f>SUM(K4:K17)</f>
        <v>0</v>
      </c>
      <c r="L23" s="1"/>
      <c r="M23" s="1">
        <f>SUM(M4:M17)</f>
        <v>0</v>
      </c>
      <c r="N23" s="1">
        <f>SUM(N4:N17)</f>
        <v>9000</v>
      </c>
      <c r="O23" s="1">
        <f>SUM(O4:O22)</f>
        <v>246000</v>
      </c>
      <c r="P23" s="3"/>
      <c r="Q23" s="4"/>
    </row>
    <row r="25" spans="1:24" x14ac:dyDescent="0.25">
      <c r="F25" s="15" t="s">
        <v>54</v>
      </c>
    </row>
    <row r="28" spans="1:24" x14ac:dyDescent="0.25">
      <c r="B28" t="str" cm="1">
        <f t="array" ref="B28:B46">UPPER(C4:C22)</f>
        <v>RASHEED</v>
      </c>
    </row>
    <row r="29" spans="1:24" x14ac:dyDescent="0.25">
      <c r="B29" t="str">
        <v>M SHAMRAIZ</v>
      </c>
    </row>
    <row r="30" spans="1:24" x14ac:dyDescent="0.25">
      <c r="B30" t="str">
        <v>TUFAIL AHMED</v>
      </c>
    </row>
    <row r="31" spans="1:24" x14ac:dyDescent="0.25">
      <c r="B31" t="str">
        <v>MUNEER HUSSAIN</v>
      </c>
    </row>
    <row r="32" spans="1:24" x14ac:dyDescent="0.25">
      <c r="B32" t="str">
        <v>M RAFIQUE</v>
      </c>
    </row>
    <row r="33" spans="2:2" x14ac:dyDescent="0.25">
      <c r="B33" t="str">
        <v>M SALEEM</v>
      </c>
    </row>
    <row r="34" spans="2:2" x14ac:dyDescent="0.25">
      <c r="B34" t="str">
        <v>SHAKEEL AHMAD</v>
      </c>
    </row>
    <row r="35" spans="2:2" x14ac:dyDescent="0.25">
      <c r="B35" t="str">
        <v>KHUSHAL</v>
      </c>
    </row>
    <row r="36" spans="2:2" x14ac:dyDescent="0.25">
      <c r="B36" t="str">
        <v>LIAQAT</v>
      </c>
    </row>
    <row r="37" spans="2:2" x14ac:dyDescent="0.25">
      <c r="B37" t="str">
        <v>KHAQAN</v>
      </c>
    </row>
    <row r="38" spans="2:2" x14ac:dyDescent="0.25">
      <c r="B38" t="str">
        <v>NAWAZ</v>
      </c>
    </row>
    <row r="39" spans="2:2" x14ac:dyDescent="0.25">
      <c r="B39" t="str">
        <v>HAROON UR RASHEED</v>
      </c>
    </row>
    <row r="40" spans="2:2" x14ac:dyDescent="0.25">
      <c r="B40" t="str">
        <v>FAISAL</v>
      </c>
    </row>
    <row r="41" spans="2:2" x14ac:dyDescent="0.25">
      <c r="B41" t="str">
        <v>HAFEEZ UR REHMAN</v>
      </c>
    </row>
    <row r="42" spans="2:2" x14ac:dyDescent="0.25">
      <c r="B42" t="str">
        <v>ABDUL MUNIR</v>
      </c>
    </row>
    <row r="43" spans="2:2" x14ac:dyDescent="0.25">
      <c r="B43" t="str">
        <v/>
      </c>
    </row>
    <row r="44" spans="2:2" x14ac:dyDescent="0.25">
      <c r="B44" t="str">
        <v>M ZAFAR</v>
      </c>
    </row>
    <row r="45" spans="2:2" x14ac:dyDescent="0.25">
      <c r="B45" t="str">
        <v>MUHAMMAD HANEEF</v>
      </c>
    </row>
    <row r="46" spans="2:2" x14ac:dyDescent="0.25">
      <c r="B46" t="str">
        <v>NAIMAT KHAN</v>
      </c>
    </row>
  </sheetData>
  <mergeCells count="2">
    <mergeCell ref="A1:Q1"/>
    <mergeCell ref="A2:Q2"/>
  </mergeCells>
  <phoneticPr fontId="8" type="noConversion"/>
  <conditionalFormatting sqref="N4:N22">
    <cfRule type="cellIs" dxfId="7" priority="9" operator="equal">
      <formula>0</formula>
    </cfRule>
  </conditionalFormatting>
  <conditionalFormatting sqref="O4:O22">
    <cfRule type="cellIs" dxfId="6" priority="8" operator="equal">
      <formula>0</formula>
    </cfRule>
  </conditionalFormatting>
  <conditionalFormatting sqref="P4:P22">
    <cfRule type="cellIs" dxfId="5" priority="2" operator="equal">
      <formula>"Cleared"</formula>
    </cfRule>
    <cfRule type="cellIs" dxfId="4" priority="3" operator="equal">
      <formula>"Partial"</formula>
    </cfRule>
    <cfRule type="cellIs" dxfId="3" priority="4" operator="equal">
      <formula>"Low Paid"</formula>
    </cfRule>
    <cfRule type="cellIs" dxfId="2" priority="5" operator="equal">
      <formula>"Unpaid"</formula>
    </cfRule>
    <cfRule type="cellIs" dxfId="1" priority="6" operator="equal">
      <formula>"   Unpaid"</formula>
    </cfRule>
    <cfRule type="iconSet" priority="7">
      <iconSet iconSet="3Symbols2">
        <cfvo type="percent" val="0"/>
        <cfvo type="percent" val="33"/>
        <cfvo type="percent" val="67"/>
      </iconSet>
    </cfRule>
  </conditionalFormatting>
  <conditionalFormatting sqref="P10">
    <cfRule type="cellIs" dxfId="0" priority="1" operator="equal">
      <formula>"paid"</formula>
    </cfRule>
  </conditionalFormatting>
  <pageMargins left="0.7" right="0.7" top="0.75" bottom="0.75" header="0.3" footer="0.3"/>
  <pageSetup orientation="landscape" r:id="rId2"/>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ASDI ATD</dc:creator>
  <cp:lastModifiedBy>ASDI ATD</cp:lastModifiedBy>
  <cp:lastPrinted>2026-10-01T11:31:59Z</cp:lastPrinted>
  <dcterms:created xsi:type="dcterms:W3CDTF">2015-06-05T18:17:20Z</dcterms:created>
  <dcterms:modified xsi:type="dcterms:W3CDTF">2026-10-17T12:22:49Z</dcterms:modified>
</cp:coreProperties>
</file>