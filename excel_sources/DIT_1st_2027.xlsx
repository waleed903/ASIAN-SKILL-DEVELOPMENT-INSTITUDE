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a1f9411706e7a40/RECORDS!!/"/>
    </mc:Choice>
  </mc:AlternateContent>
  <xr:revisionPtr revIDLastSave="32" documentId="10_ncr:8000_{FFFA31D4-07BA-4AEE-B3BF-712E24BF0B70}" xr6:coauthVersionLast="47" xr6:coauthVersionMax="47" xr10:uidLastSave="{59F2DF38-2688-45C7-9E79-E3DD89251366}"/>
  <bookViews>
    <workbookView xWindow="-120" yWindow="-120" windowWidth="21840" windowHeight="13260" tabRatio="500" xr2:uid="{00000000-000D-0000-FFFF-FFFF00000000}"/>
  </bookViews>
  <sheets>
    <sheet name="Database" sheetId="1" r:id="rId1"/>
    <sheet name="Form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0" i="1" l="1"/>
  <c r="E21" i="1"/>
  <c r="Q19" i="1"/>
  <c r="R19" i="1" s="1"/>
  <c r="I21" i="1"/>
  <c r="D21" i="1"/>
  <c r="G21" i="1"/>
  <c r="Q4" i="1"/>
  <c r="R20" i="1" l="1"/>
  <c r="T20" i="1"/>
  <c r="T19" i="1"/>
  <c r="R4" i="1"/>
  <c r="T4" i="1" s="1"/>
  <c r="Q18" i="1"/>
  <c r="Q16" i="1"/>
  <c r="Q17" i="1"/>
  <c r="F21" i="1"/>
  <c r="H21" i="1"/>
  <c r="J21" i="1"/>
  <c r="K21" i="1"/>
  <c r="L21" i="1"/>
  <c r="P21" i="1"/>
  <c r="O21" i="1"/>
  <c r="N21" i="1"/>
  <c r="Q15" i="1"/>
  <c r="Q14" i="1"/>
  <c r="Q13" i="1"/>
  <c r="Q12" i="1"/>
  <c r="Q11" i="1"/>
  <c r="Q33" i="1"/>
  <c r="Q9" i="1"/>
  <c r="T9" i="1" s="1"/>
  <c r="Q8" i="1"/>
  <c r="Q7" i="1"/>
  <c r="Q6" i="1"/>
  <c r="Q5" i="1"/>
  <c r="Q10" i="1"/>
  <c r="Q21" i="1" l="1"/>
  <c r="R33" i="1"/>
  <c r="T33" i="1"/>
  <c r="R5" i="1"/>
  <c r="T5" i="1"/>
  <c r="R8" i="1"/>
  <c r="T8" i="1" s="1"/>
  <c r="R16" i="1"/>
  <c r="T16" i="1" s="1"/>
  <c r="R10" i="1"/>
  <c r="T10" i="1" s="1"/>
  <c r="R17" i="1"/>
  <c r="T17" i="1"/>
  <c r="R9" i="1"/>
  <c r="R18" i="1"/>
  <c r="T18" i="1"/>
  <c r="T12" i="1"/>
  <c r="R15" i="1"/>
  <c r="T15" i="1" s="1"/>
  <c r="R6" i="1"/>
  <c r="T6" i="1" s="1"/>
  <c r="R14" i="1"/>
  <c r="T14" i="1" s="1"/>
  <c r="R11" i="1"/>
  <c r="T11" i="1" s="1"/>
  <c r="R13" i="1"/>
  <c r="T13" i="1" s="1"/>
  <c r="R7" i="1"/>
  <c r="T7" i="1" s="1"/>
  <c r="R21" i="1" l="1"/>
</calcChain>
</file>

<file path=xl/sharedStrings.xml><?xml version="1.0" encoding="utf-8"?>
<sst xmlns="http://schemas.openxmlformats.org/spreadsheetml/2006/main" count="71" uniqueCount="71">
  <si>
    <t>DIT 1ST SEMESTER 2027  —  FEE DATABASE</t>
  </si>
  <si>
    <t>Asian Academy Abbottabad  |  Diploma in Information Technology</t>
  </si>
  <si>
    <t>S.No</t>
  </si>
  <si>
    <t>Student Name</t>
  </si>
  <si>
    <t>Father Name</t>
  </si>
  <si>
    <t>Total Fee</t>
  </si>
  <si>
    <t>ADM</t>
  </si>
  <si>
    <t>DMC</t>
  </si>
  <si>
    <t>Reg</t>
  </si>
  <si>
    <t>JULY</t>
  </si>
  <si>
    <t>AUG</t>
  </si>
  <si>
    <t>SEP</t>
  </si>
  <si>
    <t>OCT</t>
  </si>
  <si>
    <t>NOV</t>
  </si>
  <si>
    <t>DEC</t>
  </si>
  <si>
    <t>JAN</t>
  </si>
  <si>
    <t>FEB</t>
  </si>
  <si>
    <t>Exam</t>
  </si>
  <si>
    <t>Total Paid</t>
  </si>
  <si>
    <t>Balance</t>
  </si>
  <si>
    <t>DATE OF ADM</t>
  </si>
  <si>
    <t>Status</t>
  </si>
  <si>
    <t>Contact</t>
  </si>
  <si>
    <t>SHAFAQ</t>
  </si>
  <si>
    <t xml:space="preserve">MUHAMMAD YASIR </t>
  </si>
  <si>
    <t>0311-8386393</t>
  </si>
  <si>
    <t>MISBAH MAZHAR</t>
  </si>
  <si>
    <t>MAZHAR IQBAL</t>
  </si>
  <si>
    <t>0318-1545175</t>
  </si>
  <si>
    <t>LAIBA WAQAR</t>
  </si>
  <si>
    <t>WAQAR</t>
  </si>
  <si>
    <t>0301-5294801</t>
  </si>
  <si>
    <t>MARYAM SHAKEEL</t>
  </si>
  <si>
    <t>SHAKEEL AHMED</t>
  </si>
  <si>
    <t>0312-1514495</t>
  </si>
  <si>
    <t>AMNA QAMAR</t>
  </si>
  <si>
    <t>QAMAR ZAMAN</t>
  </si>
  <si>
    <t>0371-0546129</t>
  </si>
  <si>
    <t xml:space="preserve">ABDULLAH </t>
  </si>
  <si>
    <t>JAHANGIR</t>
  </si>
  <si>
    <t xml:space="preserve">                  </t>
  </si>
  <si>
    <t>0347-5489951</t>
  </si>
  <si>
    <t>BARKEEL</t>
  </si>
  <si>
    <t>ASHBEEL AHMED</t>
  </si>
  <si>
    <t>0314-3215231</t>
  </si>
  <si>
    <t>WAQAS GUL</t>
  </si>
  <si>
    <t>GUL FARAZ</t>
  </si>
  <si>
    <t>0343-8593038</t>
  </si>
  <si>
    <t>NOUMAN</t>
  </si>
  <si>
    <t>MUHAMMAD TARIQ</t>
  </si>
  <si>
    <t>0318-8104129</t>
  </si>
  <si>
    <t>ABDUL REHMAN</t>
  </si>
  <si>
    <t>AZHAR MEHMOOD</t>
  </si>
  <si>
    <t>HASEEB KHAN</t>
  </si>
  <si>
    <t>MUHAMMAD KHALID</t>
  </si>
  <si>
    <t>SAIF ULLAH</t>
  </si>
  <si>
    <t>SYED FAIZAN SHAH</t>
  </si>
  <si>
    <t>SYED ARIF SHAH</t>
  </si>
  <si>
    <t>0319-5970193</t>
  </si>
  <si>
    <t>HAMZA KHAN</t>
  </si>
  <si>
    <t>ABDULLAH ABBASI</t>
  </si>
  <si>
    <t>GRAND TOTALS</t>
  </si>
  <si>
    <t>HAMID ALI</t>
  </si>
  <si>
    <t xml:space="preserve">IFTAKAHR </t>
  </si>
  <si>
    <t>0307-9110937</t>
  </si>
  <si>
    <t>ID</t>
  </si>
  <si>
    <t>Start time</t>
  </si>
  <si>
    <t>Completion time</t>
  </si>
  <si>
    <t>Email</t>
  </si>
  <si>
    <t>Name</t>
  </si>
  <si>
    <t>SUBHAN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</si>
</sst>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D4A017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AAAAAA"/>
      <name val="Arial"/>
      <family val="2"/>
    </font>
    <font>
      <b/>
      <sz val="10"/>
      <color rgb="FFC0392B"/>
      <name val="Arial"/>
      <family val="2"/>
    </font>
    <font>
      <b/>
      <sz val="9"/>
      <color rgb="FFC0392B"/>
      <name val="Arial"/>
      <family val="2"/>
    </font>
    <font>
      <b/>
      <sz val="10"/>
      <color rgb="FFD4A017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charset val="1"/>
    </font>
    <font>
      <b/>
      <sz val="12"/>
      <color rgb="FFF0C040"/>
      <name val="Arial"/>
      <family val="2"/>
    </font>
    <font>
      <i/>
      <sz val="12"/>
      <color rgb="FFFFFFFF"/>
      <name val="Arial"/>
      <family val="2"/>
    </font>
    <font>
      <sz val="8"/>
      <name val="Calibri"/>
      <family val="2"/>
      <charset val="1"/>
    </font>
    <font>
      <b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48"/>
      <color rgb="FFD4A017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charset val="1"/>
    </font>
    <font>
      <sz val="10"/>
      <color rgb="FFAAAAAA"/>
      <name val="Arial"/>
      <charset val="1"/>
    </font>
    <font>
      <sz val="10"/>
      <color theme="1"/>
      <name val="Arial"/>
      <charset val="1"/>
    </font>
    <font>
      <b/>
      <sz val="10"/>
      <color rgb="FFC0392B"/>
      <name val="Arial"/>
      <charset val="1"/>
    </font>
    <font>
      <b/>
      <sz val="10"/>
      <color rgb="FF00000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0D1B2A"/>
        <bgColor rgb="FF1A2B3C"/>
      </patternFill>
    </fill>
    <fill>
      <patternFill patternType="solid">
        <fgColor rgb="FF1A2B3C"/>
        <bgColor rgb="FF0D1B2A"/>
      </patternFill>
    </fill>
    <fill>
      <patternFill patternType="solid">
        <fgColor rgb="FFEAF2FF"/>
        <bgColor rgb="FFFDECEA"/>
      </patternFill>
    </fill>
    <fill>
      <patternFill patternType="solid">
        <fgColor rgb="FFFDECEA"/>
        <bgColor rgb="FFFEF3E2"/>
      </patternFill>
    </fill>
    <fill>
      <patternFill patternType="solid">
        <fgColor rgb="FFFFFFFF"/>
        <bgColor rgb="FFFEF3E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rgb="FFFEF3E2"/>
      </patternFill>
    </fill>
    <fill>
      <patternFill patternType="solid">
        <fgColor rgb="FFC6EFCE"/>
      </patternFill>
    </fill>
    <fill>
      <patternFill patternType="solid">
        <fgColor rgb="FFFFFF00"/>
        <bgColor rgb="FFFEF3E2"/>
      </patternFill>
    </fill>
    <fill>
      <patternFill patternType="solid">
        <fgColor rgb="FFFFFF00"/>
        <bgColor rgb="FFFDECEA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</borders>
  <cellStyleXfs count="3">
    <xf numFmtId="0" fontId="0" fillId="0" borderId="0"/>
    <xf numFmtId="0" fontId="16" fillId="11" borderId="0" applyNumberFormat="0" applyBorder="0" applyAlignment="0" applyProtection="0"/>
    <xf numFmtId="0" fontId="1" fillId="14" borderId="0" applyNumberFormat="0" applyBorder="0" applyAlignment="0" applyProtection="0"/>
  </cellStyleXfs>
  <cellXfs count="50">
    <xf numFmtId="0" fontId="0" fillId="0" borderId="0" xfId="0"/>
    <xf numFmtId="0" fontId="2" fillId="7" borderId="0" xfId="0" applyFont="1" applyFill="1" applyAlignment="1">
      <alignment vertical="center"/>
    </xf>
    <xf numFmtId="0" fontId="0" fillId="7" borderId="0" xfId="0" applyFill="1"/>
    <xf numFmtId="0" fontId="3" fillId="4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0" borderId="0" xfId="0" applyFont="1"/>
    <xf numFmtId="0" fontId="13" fillId="7" borderId="0" xfId="0" applyFont="1" applyFill="1" applyAlignment="1">
      <alignment vertical="center"/>
    </xf>
    <xf numFmtId="14" fontId="6" fillId="4" borderId="3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10" fillId="9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center" vertical="center"/>
    </xf>
    <xf numFmtId="0" fontId="16" fillId="11" borderId="3" xfId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8" fillId="14" borderId="3" xfId="2" applyFont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left" vertical="center"/>
    </xf>
    <xf numFmtId="0" fontId="19" fillId="4" borderId="3" xfId="0" applyFont="1" applyFill="1" applyBorder="1" applyAlignment="1">
      <alignment horizontal="center" vertical="center"/>
    </xf>
    <xf numFmtId="0" fontId="20" fillId="15" borderId="3" xfId="2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4" fontId="22" fillId="4" borderId="3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22" fontId="0" fillId="0" borderId="0" xfId="0" applyNumberFormat="1"/>
    <xf numFmtId="0" fontId="10" fillId="8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</cellXfs>
  <cellStyles count="3">
    <cellStyle name="40% - Accent1" xfId="2" builtinId="31"/>
    <cellStyle name="Good" xfId="1" builtinId="26"/>
    <cellStyle name="Normal" xfId="0" builtinId="0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lor theme="9" tint="-0.24994659260841701"/>
      </font>
      <fill>
        <patternFill patternType="solid">
          <fgColor theme="9" tint="-0.499984740745262"/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164" formatCode="m/d/yyyy\ h:mm"/>
    </dxf>
    <dxf>
      <numFmt numFmtId="164" formatCode="m/d/yyyy\ 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/>
        <top style="thin">
          <color theme="3"/>
        </top>
        <bottom style="thin">
          <color theme="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C0392B"/>
        <name val="Arial"/>
        <charset val="1"/>
        <scheme val="none"/>
      </font>
      <fill>
        <patternFill patternType="solid">
          <fgColor rgb="FFFEF3E2"/>
          <bgColor rgb="FFFDECE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392B"/>
        <name val="Arial"/>
        <charset val="1"/>
        <scheme val="none"/>
      </font>
      <numFmt numFmtId="19" formatCode="dd/mm/yyyy"/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392B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AAAAA"/>
        <name val="Arial"/>
        <charset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AAAAAA"/>
        <name val="Arial"/>
        <charset val="1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DECEA"/>
          <bgColor rgb="FFEAF2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3"/>
        </right>
        <top style="thin">
          <color theme="3"/>
        </top>
        <bottom style="thin">
          <color theme="3"/>
        </bottom>
        <vertical/>
        <horizontal/>
      </border>
    </dxf>
    <dxf>
      <border outline="0">
        <top style="thin">
          <color theme="3"/>
        </top>
      </border>
    </dxf>
    <dxf>
      <border outline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</border>
    </dxf>
    <dxf>
      <border outline="0">
        <bottom style="thin">
          <color theme="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0C040"/>
        <name val="Arial"/>
        <charset val="1"/>
        <scheme val="none"/>
      </font>
      <fill>
        <patternFill patternType="solid">
          <fgColor rgb="FF1A2B3C"/>
          <bgColor rgb="FF0D1B2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3"/>
        </left>
        <right style="thin">
          <color theme="3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C32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EA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CEA"/>
      <rgbColor rgb="FFD6F5E3"/>
      <rgbColor rgb="FFFEF3E2"/>
      <rgbColor rgb="FF99CCFF"/>
      <rgbColor rgb="FFFF99CC"/>
      <rgbColor rgb="FFCC99FF"/>
      <rgbColor rgb="FFFFCC99"/>
      <rgbColor rgb="FF3366FF"/>
      <rgbColor rgb="FF33CCCC"/>
      <rgbColor rgb="FF99CC00"/>
      <rgbColor rgb="FFF0C040"/>
      <rgbColor rgb="FFD4A017"/>
      <rgbColor rgb="FFE67E22"/>
      <rgbColor rgb="FF666699"/>
      <rgbColor rgb="FFAAAAAA"/>
      <rgbColor rgb="FF1A3A5C"/>
      <rgbColor rgb="FF1E8B4C"/>
      <rgbColor rgb="FF0D1B2A"/>
      <rgbColor rgb="FF333300"/>
      <rgbColor rgb="FFC0392B"/>
      <rgbColor rgb="FF993366"/>
      <rgbColor rgb="FF333399"/>
      <rgbColor rgb="FF1A2B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D5407-E819-4F41-9757-87D4A74DA9D3}" name="Table1" displayName="Table1" ref="A3:U21" totalsRowShown="0" headerRowDxfId="34" headerRowBorderDxfId="33" tableBorderDxfId="32" totalsRowBorderDxfId="31">
  <tableColumns count="21">
    <tableColumn id="1" xr3:uid="{B1446CB7-8406-42E8-A75C-F06459B31A4F}" name="S.No" dataDxfId="30"/>
    <tableColumn id="2" xr3:uid="{59B650AB-3BC1-40A1-82DA-1A494F4EA6FD}" name="Student Name" dataDxfId="29"/>
    <tableColumn id="3" xr3:uid="{0D12556D-C5FC-44CB-986C-1276FC02F5AE}" name="Father Name" dataDxfId="28"/>
    <tableColumn id="4" xr3:uid="{B0C6728D-ED99-42CA-A6A6-831C40A6DE92}" name="Total Fee" dataDxfId="27"/>
    <tableColumn id="5" xr3:uid="{29196ED5-8B87-4628-90CD-64E35BE05324}" name="ADM" dataDxfId="26"/>
    <tableColumn id="6" xr3:uid="{9312084D-84B9-48DB-8E01-261AFA77BEF9}" name="DMC" dataDxfId="25"/>
    <tableColumn id="7" xr3:uid="{216F97EA-BE7E-41A3-BD7C-EE18AC1F9A50}" name="Reg" dataDxfId="24"/>
    <tableColumn id="9" xr3:uid="{7D96689F-AACF-4A54-862A-A4E6BB6585B4}" name="JULY" dataDxfId="23"/>
    <tableColumn id="10" xr3:uid="{A76243AD-C6AC-48F2-8CF1-64B0E7003A86}" name="AUG" dataDxfId="22"/>
    <tableColumn id="11" xr3:uid="{A0866197-5461-4585-A02D-FF6C05720C7D}" name="SEP" dataDxfId="21"/>
    <tableColumn id="12" xr3:uid="{9E9181B3-7B2F-4B18-85A2-7CB371CEAFCD}" name="OCT" dataDxfId="20"/>
    <tableColumn id="13" xr3:uid="{676CE8FE-352A-4B02-A070-1110C8A71580}" name="NOV" dataDxfId="19"/>
    <tableColumn id="22" xr3:uid="{EA206F75-44C1-4BBB-ACAD-3F2754B210CD}" name="DEC"/>
    <tableColumn id="14" xr3:uid="{E103AE73-762A-417C-8E64-07C6E424EDBD}" name="JAN" dataDxfId="18"/>
    <tableColumn id="15" xr3:uid="{6C65FBC7-61EF-4FBF-9591-17EAAB06A2E9}" name="FEB" dataDxfId="17"/>
    <tableColumn id="16" xr3:uid="{7B4D29FF-F2C8-445B-A662-BDFCC4F44AE1}" name="Exam" dataDxfId="16"/>
    <tableColumn id="17" xr3:uid="{7F74AF08-72B8-4BA6-8A31-7D087452A105}" name="Total Paid" dataDxfId="15"/>
    <tableColumn id="18" xr3:uid="{A5AAE6E6-D57E-46A3-B127-66D9DF8E4044}" name="Balance" dataDxfId="14"/>
    <tableColumn id="19" xr3:uid="{9E712169-8C89-4908-AC2C-EC01E1861CE8}" name="DATE OF ADM" dataDxfId="13"/>
    <tableColumn id="20" xr3:uid="{F33647D0-3009-4D6F-976E-06B987C7EA65}" name="Status" dataDxfId="12"/>
    <tableColumn id="21" xr3:uid="{3836BC65-CC38-425D-9598-B52F61335B8D}" name="Contact" dataDxfId="1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167B44-99BD-4955-95F9-BDC3702D5B99}" name="Table2" displayName="Table2" ref="A1:E2" insertRow="1" totalsRowShown="0">
  <autoFilter ref="A1:E2" xr:uid="{9C167B44-99BD-4955-95F9-BDC3702D5B99}"/>
  <tableColumns count="5">
    <tableColumn id="1" xr3:uid="{23355505-2C8E-46AD-B432-D520D72B1FAA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250FEAB7-AC6C-4006-9ECC-B504F9D73BBB}" name="Start time" dataDxfId="9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6AC94C1A-950F-4725-B6DD-DB01F9708939}" name="Completion time" dataDxfId="8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B583A838-B549-4351-9876-7A0CC70BB78B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4E829B6-AEE3-4D9E-A095-D625D0B5D2E7}" name="Name" dataDxfId="6">
      <extLst>
        <ext xmlns:xlmsforms="http://schemas.microsoft.com/office/spreadsheetml/2023/msForms" uri="{FCC71383-01E1-4257-9335-427F07BE8D7F}">
          <xlmsforms:question id="responderNam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MAAHiIZ55UOFAxNEdUWjYwUDBHM1lYRDlTRllaTDM0TS4u" isFormConnected="1" maxResponseId="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EC4DD9-1EA0-4D84-B341-C89D09AC9411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l4tYVhSBvRyhf3f8hnYc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X33"/>
  <sheetViews>
    <sheetView showGridLines="0" tabSelected="1" zoomScale="70" zoomScaleNormal="70" workbookViewId="0">
      <selection activeCell="D3" sqref="D3:R4"/>
    </sheetView>
  </sheetViews>
  <sheetFormatPr defaultColWidth="8.7109375" defaultRowHeight="15" x14ac:dyDescent="0.25"/>
  <cols>
    <col min="1" max="1" width="7" customWidth="1"/>
    <col min="2" max="2" width="24.28515625" bestFit="1" customWidth="1"/>
    <col min="3" max="3" width="25.28515625" bestFit="1" customWidth="1"/>
    <col min="4" max="4" width="11.5703125" bestFit="1" customWidth="1"/>
    <col min="5" max="6" width="7.85546875" bestFit="1" customWidth="1"/>
    <col min="7" max="7" width="7.85546875" customWidth="1"/>
    <col min="8" max="8" width="7.140625" bestFit="1" customWidth="1"/>
    <col min="9" max="9" width="6.28515625" bestFit="1" customWidth="1"/>
    <col min="10" max="10" width="8" customWidth="1"/>
    <col min="11" max="11" width="6.140625" bestFit="1" customWidth="1"/>
    <col min="12" max="13" width="6.28515625" bestFit="1" customWidth="1"/>
    <col min="14" max="14" width="5.85546875" bestFit="1" customWidth="1"/>
    <col min="15" max="15" width="6" bestFit="1" customWidth="1"/>
    <col min="16" max="16" width="7.42578125" bestFit="1" customWidth="1"/>
    <col min="17" max="17" width="12.140625" bestFit="1" customWidth="1"/>
    <col min="18" max="18" width="10.140625" bestFit="1" customWidth="1"/>
    <col min="19" max="19" width="17.5703125" bestFit="1" customWidth="1"/>
    <col min="20" max="20" width="12.85546875" bestFit="1" customWidth="1"/>
    <col min="21" max="21" width="15.28515625" customWidth="1"/>
    <col min="22" max="22" width="13.85546875" bestFit="1" customWidth="1"/>
    <col min="23" max="23" width="12.28515625" bestFit="1" customWidth="1"/>
    <col min="25" max="25" width="17.7109375" bestFit="1" customWidth="1"/>
    <col min="26" max="26" width="10.28515625" bestFit="1" customWidth="1"/>
    <col min="27" max="27" width="17.7109375" bestFit="1" customWidth="1"/>
    <col min="28" max="28" width="10.28515625" bestFit="1" customWidth="1"/>
  </cols>
  <sheetData>
    <row r="1" spans="1:24" ht="79.5" customHeight="1" x14ac:dyDescent="0.2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1"/>
      <c r="W1" s="2"/>
      <c r="X1" s="2"/>
    </row>
    <row r="2" spans="1:24" s="11" customFormat="1" ht="18" customHeight="1" x14ac:dyDescent="0.25">
      <c r="A2" s="48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12"/>
    </row>
    <row r="3" spans="1:24" s="11" customFormat="1" ht="25.5" customHeight="1" x14ac:dyDescent="0.25">
      <c r="A3" s="17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7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  <c r="L3" s="18" t="s">
        <v>13</v>
      </c>
      <c r="M3" s="18" t="s">
        <v>14</v>
      </c>
      <c r="N3" s="18" t="s">
        <v>15</v>
      </c>
      <c r="O3" s="18" t="s">
        <v>16</v>
      </c>
      <c r="P3" s="18" t="s">
        <v>17</v>
      </c>
      <c r="Q3" s="18" t="s">
        <v>18</v>
      </c>
      <c r="R3" s="18" t="s">
        <v>19</v>
      </c>
      <c r="S3" s="18" t="s">
        <v>20</v>
      </c>
      <c r="T3" s="18" t="s">
        <v>21</v>
      </c>
      <c r="U3" s="19" t="s">
        <v>22</v>
      </c>
    </row>
    <row r="4" spans="1:24" ht="21.75" customHeight="1" x14ac:dyDescent="0.25">
      <c r="A4" s="14">
        <v>1</v>
      </c>
      <c r="B4" s="26" t="s">
        <v>23</v>
      </c>
      <c r="C4" s="26" t="s">
        <v>24</v>
      </c>
      <c r="D4" s="26"/>
      <c r="E4" s="10">
        <v>1000</v>
      </c>
      <c r="F4" s="31">
        <v>2000</v>
      </c>
      <c r="G4" s="4">
        <v>4000</v>
      </c>
      <c r="H4" s="10">
        <v>1000</v>
      </c>
      <c r="I4" s="10">
        <v>1000</v>
      </c>
      <c r="J4" s="10">
        <v>1000</v>
      </c>
      <c r="K4" s="10">
        <v>1000</v>
      </c>
      <c r="L4" s="10">
        <v>1000</v>
      </c>
      <c r="M4" s="10">
        <v>1000</v>
      </c>
      <c r="N4" s="10">
        <v>1000</v>
      </c>
      <c r="O4" s="10">
        <v>1000</v>
      </c>
      <c r="P4" s="24">
        <v>3500</v>
      </c>
      <c r="Q4" s="3">
        <f t="shared" ref="Q4:Q20" si="0">SUM(E4:P4)</f>
        <v>18500</v>
      </c>
      <c r="R4" s="6">
        <f t="shared" ref="R4:R20" si="1">D4-Q4</f>
        <v>-18500</v>
      </c>
      <c r="S4" s="13">
        <v>46204</v>
      </c>
      <c r="T4" s="7" t="e">
        <f>IF(Q4=0,"Unpaid",IF(R4=0,"Cleared",IF(Q4/D4&gt;=0.5,"Partial","Low Paid")))</f>
        <v>#DIV/0!</v>
      </c>
      <c r="U4" s="15" t="s">
        <v>25</v>
      </c>
    </row>
    <row r="5" spans="1:24" ht="21.75" customHeight="1" x14ac:dyDescent="0.25">
      <c r="A5" s="14">
        <v>2</v>
      </c>
      <c r="B5" s="25" t="s">
        <v>26</v>
      </c>
      <c r="C5" s="25" t="s">
        <v>27</v>
      </c>
      <c r="D5" s="25">
        <v>19000</v>
      </c>
      <c r="E5" s="9">
        <v>1000</v>
      </c>
      <c r="F5" s="31"/>
      <c r="G5" s="4">
        <v>4000</v>
      </c>
      <c r="H5" s="9">
        <v>1000</v>
      </c>
      <c r="I5" s="9">
        <v>1000</v>
      </c>
      <c r="J5" s="9">
        <v>1000</v>
      </c>
      <c r="K5" s="10">
        <v>1000</v>
      </c>
      <c r="L5" s="9"/>
      <c r="M5" s="9"/>
      <c r="N5" s="9"/>
      <c r="O5" s="9"/>
      <c r="P5" s="5"/>
      <c r="Q5" s="3">
        <f t="shared" si="0"/>
        <v>9000</v>
      </c>
      <c r="R5" s="6">
        <f t="shared" si="1"/>
        <v>10000</v>
      </c>
      <c r="S5" s="13">
        <v>46218</v>
      </c>
      <c r="T5" s="7" t="str">
        <f t="shared" ref="T5:T20" si="2">IF(Q5=0,"Unpaid",IF(R5=0,"Cleared",IF(Q5/D5&gt;=0.5,"Partial","Low Paid")))</f>
        <v>Low Paid</v>
      </c>
      <c r="U5" s="15" t="s">
        <v>28</v>
      </c>
    </row>
    <row r="6" spans="1:24" ht="22.5" customHeight="1" x14ac:dyDescent="0.25">
      <c r="A6" s="14">
        <v>3</v>
      </c>
      <c r="B6" s="26" t="s">
        <v>29</v>
      </c>
      <c r="C6" s="26" t="s">
        <v>30</v>
      </c>
      <c r="D6" s="26">
        <v>19000</v>
      </c>
      <c r="E6" s="10">
        <v>1000</v>
      </c>
      <c r="F6" s="31">
        <v>2000</v>
      </c>
      <c r="G6" s="4"/>
      <c r="H6" s="10">
        <v>1000</v>
      </c>
      <c r="I6" s="10">
        <v>1000</v>
      </c>
      <c r="J6" s="10">
        <v>1000</v>
      </c>
      <c r="K6" s="10">
        <v>1000</v>
      </c>
      <c r="L6" s="10">
        <v>1000</v>
      </c>
      <c r="M6" s="10"/>
      <c r="N6" s="10"/>
      <c r="O6" s="10"/>
      <c r="P6" s="5"/>
      <c r="Q6" s="8">
        <f t="shared" si="0"/>
        <v>8000</v>
      </c>
      <c r="R6" s="6">
        <f t="shared" si="1"/>
        <v>11000</v>
      </c>
      <c r="S6" s="13">
        <v>46212</v>
      </c>
      <c r="T6" s="7" t="str">
        <f t="shared" si="2"/>
        <v>Low Paid</v>
      </c>
      <c r="U6" s="16" t="s">
        <v>31</v>
      </c>
    </row>
    <row r="7" spans="1:24" ht="21.75" customHeight="1" x14ac:dyDescent="0.25">
      <c r="A7" s="14">
        <v>4</v>
      </c>
      <c r="B7" s="25" t="s">
        <v>32</v>
      </c>
      <c r="C7" s="25" t="s">
        <v>33</v>
      </c>
      <c r="D7" s="25">
        <v>18000</v>
      </c>
      <c r="E7" s="9">
        <v>1000</v>
      </c>
      <c r="F7" s="31">
        <v>2000</v>
      </c>
      <c r="G7" s="4">
        <v>4000</v>
      </c>
      <c r="H7" s="27"/>
      <c r="I7" s="10">
        <v>1000</v>
      </c>
      <c r="J7" s="9">
        <v>1000</v>
      </c>
      <c r="K7" s="10">
        <v>1000</v>
      </c>
      <c r="L7" s="9"/>
      <c r="M7" s="9"/>
      <c r="N7" s="9"/>
      <c r="O7" s="9"/>
      <c r="P7" s="5"/>
      <c r="Q7" s="3">
        <f t="shared" si="0"/>
        <v>10000</v>
      </c>
      <c r="R7" s="6">
        <f t="shared" si="1"/>
        <v>8000</v>
      </c>
      <c r="S7" s="13">
        <v>46222</v>
      </c>
      <c r="T7" s="7" t="str">
        <f t="shared" si="2"/>
        <v>Partial</v>
      </c>
      <c r="U7" s="15" t="s">
        <v>34</v>
      </c>
    </row>
    <row r="8" spans="1:24" ht="21.75" customHeight="1" x14ac:dyDescent="0.25">
      <c r="A8" s="14">
        <v>5</v>
      </c>
      <c r="B8" s="25" t="s">
        <v>35</v>
      </c>
      <c r="C8" s="25" t="s">
        <v>36</v>
      </c>
      <c r="D8" s="25">
        <v>18000</v>
      </c>
      <c r="E8" s="29"/>
      <c r="F8" s="31">
        <v>1000</v>
      </c>
      <c r="G8" s="4">
        <v>4000</v>
      </c>
      <c r="H8" s="9">
        <v>1000</v>
      </c>
      <c r="I8" s="9">
        <v>1000</v>
      </c>
      <c r="J8" s="29"/>
      <c r="K8" s="29"/>
      <c r="L8" s="9"/>
      <c r="M8" s="9"/>
      <c r="N8" s="9"/>
      <c r="O8" s="9"/>
      <c r="P8" s="5"/>
      <c r="Q8" s="8">
        <f t="shared" si="0"/>
        <v>7000</v>
      </c>
      <c r="R8" s="6">
        <f t="shared" si="1"/>
        <v>11000</v>
      </c>
      <c r="S8" s="13">
        <v>46202</v>
      </c>
      <c r="T8" s="7" t="str">
        <f t="shared" si="2"/>
        <v>Low Paid</v>
      </c>
      <c r="U8" s="16" t="s">
        <v>37</v>
      </c>
    </row>
    <row r="9" spans="1:24" ht="21.75" customHeight="1" x14ac:dyDescent="0.25">
      <c r="A9" s="14"/>
      <c r="B9" s="26"/>
      <c r="C9" s="26"/>
      <c r="D9" s="26">
        <v>0</v>
      </c>
      <c r="E9" s="10"/>
      <c r="F9" s="31"/>
      <c r="G9" s="4"/>
      <c r="H9" s="10"/>
      <c r="I9" s="10"/>
      <c r="J9" s="10"/>
      <c r="K9" s="10"/>
      <c r="L9" s="10"/>
      <c r="M9" s="10"/>
      <c r="N9" s="10"/>
      <c r="O9" s="10"/>
      <c r="P9" s="5"/>
      <c r="Q9" s="3">
        <f t="shared" si="0"/>
        <v>0</v>
      </c>
      <c r="R9" s="6">
        <f t="shared" si="1"/>
        <v>0</v>
      </c>
      <c r="S9" s="13"/>
      <c r="T9" s="7" t="str">
        <f>IF(Q9=0,"paid",IF(R9=0,"Cleared",IF(Q9/D9&gt;=0.5,"Partial","Low Paid")))</f>
        <v>paid</v>
      </c>
      <c r="U9" s="15"/>
    </row>
    <row r="10" spans="1:24" ht="15" customHeight="1" x14ac:dyDescent="0.25">
      <c r="A10" s="14">
        <v>6</v>
      </c>
      <c r="B10" s="25" t="s">
        <v>38</v>
      </c>
      <c r="C10" s="25" t="s">
        <v>39</v>
      </c>
      <c r="D10" s="25">
        <v>17500</v>
      </c>
      <c r="E10" s="9">
        <v>1000</v>
      </c>
      <c r="F10" s="31">
        <v>1500</v>
      </c>
      <c r="G10" s="4">
        <v>3500</v>
      </c>
      <c r="H10" s="27" t="s">
        <v>40</v>
      </c>
      <c r="I10" s="29">
        <v>1000</v>
      </c>
      <c r="J10" s="29">
        <v>1000</v>
      </c>
      <c r="K10" s="29">
        <v>1000</v>
      </c>
      <c r="L10" s="9">
        <v>1000</v>
      </c>
      <c r="M10" s="9"/>
      <c r="N10" s="9"/>
      <c r="O10" s="9"/>
      <c r="P10" s="5"/>
      <c r="Q10" s="8">
        <f t="shared" si="0"/>
        <v>10000</v>
      </c>
      <c r="R10" s="6">
        <f t="shared" si="1"/>
        <v>7500</v>
      </c>
      <c r="S10" s="13">
        <v>46223</v>
      </c>
      <c r="T10" s="7" t="str">
        <f t="shared" si="2"/>
        <v>Partial</v>
      </c>
      <c r="U10" s="16" t="s">
        <v>41</v>
      </c>
    </row>
    <row r="11" spans="1:24" ht="21.75" customHeight="1" x14ac:dyDescent="0.25">
      <c r="A11" s="14">
        <v>7</v>
      </c>
      <c r="B11" s="26" t="s">
        <v>42</v>
      </c>
      <c r="C11" s="26" t="s">
        <v>43</v>
      </c>
      <c r="D11" s="26">
        <v>17500</v>
      </c>
      <c r="E11" s="10"/>
      <c r="F11" s="31"/>
      <c r="G11" s="44"/>
      <c r="H11" s="27"/>
      <c r="I11" s="10">
        <v>1200</v>
      </c>
      <c r="J11" s="10">
        <v>1000</v>
      </c>
      <c r="K11" s="30"/>
      <c r="L11" s="10"/>
      <c r="M11" s="10"/>
      <c r="N11" s="10"/>
      <c r="O11" s="10"/>
      <c r="P11" s="5"/>
      <c r="Q11" s="8">
        <f t="shared" si="0"/>
        <v>2200</v>
      </c>
      <c r="R11" s="6">
        <f t="shared" si="1"/>
        <v>15300</v>
      </c>
      <c r="S11" s="13"/>
      <c r="T11" s="7" t="str">
        <f t="shared" si="2"/>
        <v>Low Paid</v>
      </c>
      <c r="U11" s="16" t="s">
        <v>44</v>
      </c>
    </row>
    <row r="12" spans="1:24" ht="21.75" customHeight="1" x14ac:dyDescent="0.25">
      <c r="A12" s="14">
        <v>8</v>
      </c>
      <c r="B12" s="25" t="s">
        <v>45</v>
      </c>
      <c r="C12" s="25" t="s">
        <v>46</v>
      </c>
      <c r="D12" s="25">
        <v>17500</v>
      </c>
      <c r="E12" s="9">
        <v>1000</v>
      </c>
      <c r="F12" s="31"/>
      <c r="G12" s="44">
        <v>3500</v>
      </c>
      <c r="H12" s="27"/>
      <c r="I12" s="27"/>
      <c r="J12" s="9">
        <v>1000</v>
      </c>
      <c r="K12" s="29"/>
      <c r="L12" s="9"/>
      <c r="M12" s="9"/>
      <c r="N12" s="9"/>
      <c r="O12" s="9"/>
      <c r="P12" s="5"/>
      <c r="Q12" s="8">
        <f t="shared" si="0"/>
        <v>5500</v>
      </c>
      <c r="R12" s="6">
        <v>16000</v>
      </c>
      <c r="S12" s="13">
        <v>46256</v>
      </c>
      <c r="T12" s="7" t="str">
        <f t="shared" si="2"/>
        <v>Low Paid</v>
      </c>
      <c r="U12" s="16" t="s">
        <v>47</v>
      </c>
    </row>
    <row r="13" spans="1:24" ht="21.75" customHeight="1" x14ac:dyDescent="0.25">
      <c r="A13" s="14">
        <v>9</v>
      </c>
      <c r="B13" s="26" t="s">
        <v>48</v>
      </c>
      <c r="C13" s="26" t="s">
        <v>49</v>
      </c>
      <c r="D13" s="26">
        <v>17500</v>
      </c>
      <c r="E13" s="10">
        <v>1000</v>
      </c>
      <c r="F13" s="31"/>
      <c r="G13" s="4">
        <v>4000</v>
      </c>
      <c r="H13" s="27"/>
      <c r="I13" s="27"/>
      <c r="J13" s="10">
        <v>1000</v>
      </c>
      <c r="K13" s="30"/>
      <c r="L13" s="10"/>
      <c r="M13" s="10"/>
      <c r="N13" s="10"/>
      <c r="O13" s="10"/>
      <c r="P13" s="24"/>
      <c r="Q13" s="3">
        <f t="shared" si="0"/>
        <v>6000</v>
      </c>
      <c r="R13" s="6">
        <f t="shared" si="1"/>
        <v>11500</v>
      </c>
      <c r="S13" s="13">
        <v>46256</v>
      </c>
      <c r="T13" s="7" t="str">
        <f t="shared" si="2"/>
        <v>Low Paid</v>
      </c>
      <c r="U13" s="15" t="s">
        <v>50</v>
      </c>
    </row>
    <row r="14" spans="1:24" ht="21.75" customHeight="1" x14ac:dyDescent="0.25">
      <c r="A14" s="14">
        <v>10</v>
      </c>
      <c r="B14" s="25" t="s">
        <v>51</v>
      </c>
      <c r="C14" s="25" t="s">
        <v>52</v>
      </c>
      <c r="D14" s="25">
        <v>16300</v>
      </c>
      <c r="E14" s="9">
        <v>1000</v>
      </c>
      <c r="F14" s="31"/>
      <c r="G14" s="4"/>
      <c r="H14" s="27"/>
      <c r="I14" s="27"/>
      <c r="J14" s="9">
        <v>1000</v>
      </c>
      <c r="K14" s="29">
        <v>1000</v>
      </c>
      <c r="L14" s="9"/>
      <c r="M14" s="9"/>
      <c r="N14" s="9"/>
      <c r="O14" s="9"/>
      <c r="P14" s="5"/>
      <c r="Q14" s="8">
        <f t="shared" si="0"/>
        <v>3000</v>
      </c>
      <c r="R14" s="6">
        <f t="shared" si="1"/>
        <v>13300</v>
      </c>
      <c r="S14" s="13">
        <v>46267</v>
      </c>
      <c r="T14" s="7" t="str">
        <f t="shared" si="2"/>
        <v>Low Paid</v>
      </c>
      <c r="U14" s="16"/>
    </row>
    <row r="15" spans="1:24" ht="21.75" customHeight="1" x14ac:dyDescent="0.25">
      <c r="A15" s="14">
        <v>11</v>
      </c>
      <c r="B15" s="26" t="s">
        <v>53</v>
      </c>
      <c r="C15" s="26" t="s">
        <v>54</v>
      </c>
      <c r="D15" s="26">
        <v>17500</v>
      </c>
      <c r="E15" s="10">
        <v>1000</v>
      </c>
      <c r="F15" s="31">
        <v>2000</v>
      </c>
      <c r="G15" s="4">
        <v>4000</v>
      </c>
      <c r="H15" s="27"/>
      <c r="I15" s="27"/>
      <c r="J15" s="10">
        <v>1000</v>
      </c>
      <c r="K15" s="30">
        <v>1000</v>
      </c>
      <c r="L15" s="10"/>
      <c r="M15" s="10"/>
      <c r="N15" s="10"/>
      <c r="O15" s="10"/>
      <c r="P15" s="5"/>
      <c r="Q15" s="3">
        <f t="shared" si="0"/>
        <v>9000</v>
      </c>
      <c r="R15" s="6">
        <f t="shared" si="1"/>
        <v>8500</v>
      </c>
      <c r="S15" s="13">
        <v>46266</v>
      </c>
      <c r="T15" s="7" t="str">
        <f t="shared" si="2"/>
        <v>Partial</v>
      </c>
      <c r="U15" s="15"/>
    </row>
    <row r="16" spans="1:24" ht="21.75" customHeight="1" x14ac:dyDescent="0.25">
      <c r="A16" s="14">
        <v>12</v>
      </c>
      <c r="B16" s="25" t="s">
        <v>55</v>
      </c>
      <c r="C16" s="25"/>
      <c r="D16" s="25">
        <v>17500</v>
      </c>
      <c r="E16" s="9">
        <v>1000</v>
      </c>
      <c r="F16" s="31">
        <v>2000</v>
      </c>
      <c r="G16" s="4">
        <v>4000</v>
      </c>
      <c r="H16" s="27"/>
      <c r="I16" s="27"/>
      <c r="J16" s="9">
        <v>1000</v>
      </c>
      <c r="K16" s="29"/>
      <c r="L16" s="9"/>
      <c r="M16" s="9"/>
      <c r="N16" s="9"/>
      <c r="O16" s="9"/>
      <c r="P16" s="5"/>
      <c r="Q16" s="3">
        <f t="shared" si="0"/>
        <v>8000</v>
      </c>
      <c r="R16" s="6">
        <f t="shared" si="1"/>
        <v>9500</v>
      </c>
      <c r="S16" s="13"/>
      <c r="T16" s="7" t="str">
        <f t="shared" si="2"/>
        <v>Low Paid</v>
      </c>
      <c r="U16" s="15"/>
    </row>
    <row r="17" spans="1:21" ht="21.75" customHeight="1" x14ac:dyDescent="0.25">
      <c r="A17" s="14">
        <v>13</v>
      </c>
      <c r="B17" s="26" t="s">
        <v>56</v>
      </c>
      <c r="C17" s="26" t="s">
        <v>57</v>
      </c>
      <c r="D17" s="26">
        <v>7000</v>
      </c>
      <c r="E17" s="28">
        <v>700</v>
      </c>
      <c r="F17" s="28"/>
      <c r="G17" s="28"/>
      <c r="H17" s="28"/>
      <c r="I17" s="28"/>
      <c r="J17" s="28"/>
      <c r="K17" s="30"/>
      <c r="L17" s="10"/>
      <c r="M17" s="10"/>
      <c r="N17" s="10"/>
      <c r="O17" s="10"/>
      <c r="P17" s="5"/>
      <c r="Q17" s="3">
        <f t="shared" si="0"/>
        <v>700</v>
      </c>
      <c r="R17" s="6">
        <f t="shared" si="1"/>
        <v>6300</v>
      </c>
      <c r="S17" s="13">
        <v>46293</v>
      </c>
      <c r="T17" s="7" t="str">
        <f t="shared" si="2"/>
        <v>Low Paid</v>
      </c>
      <c r="U17" s="15" t="s">
        <v>58</v>
      </c>
    </row>
    <row r="18" spans="1:21" ht="21.75" customHeight="1" x14ac:dyDescent="0.25">
      <c r="A18" s="14">
        <v>14</v>
      </c>
      <c r="B18" s="25" t="s">
        <v>59</v>
      </c>
      <c r="C18" s="25"/>
      <c r="D18" s="25">
        <v>17500</v>
      </c>
      <c r="E18" s="9">
        <v>1500</v>
      </c>
      <c r="F18" s="31">
        <v>2000</v>
      </c>
      <c r="G18" s="4">
        <v>4000</v>
      </c>
      <c r="H18" s="27"/>
      <c r="I18" s="27"/>
      <c r="J18" s="27"/>
      <c r="K18" s="9">
        <v>1000</v>
      </c>
      <c r="L18" s="9"/>
      <c r="M18" s="9"/>
      <c r="N18" s="9"/>
      <c r="O18" s="9"/>
      <c r="P18" s="5"/>
      <c r="Q18" s="3">
        <f t="shared" si="0"/>
        <v>8500</v>
      </c>
      <c r="R18" s="6">
        <f t="shared" si="1"/>
        <v>9000</v>
      </c>
      <c r="S18" s="13"/>
      <c r="T18" s="7" t="str">
        <f t="shared" si="2"/>
        <v>Low Paid</v>
      </c>
      <c r="U18" s="15"/>
    </row>
    <row r="19" spans="1:21" ht="21.75" customHeight="1" x14ac:dyDescent="0.25">
      <c r="A19" s="14">
        <v>15</v>
      </c>
      <c r="B19" s="26" t="s">
        <v>60</v>
      </c>
      <c r="C19" s="33"/>
      <c r="D19" s="26">
        <v>17500</v>
      </c>
      <c r="E19" s="34">
        <v>1500</v>
      </c>
      <c r="F19" s="35">
        <v>2000</v>
      </c>
      <c r="G19" s="36">
        <v>4000</v>
      </c>
      <c r="H19" s="27"/>
      <c r="I19" s="27"/>
      <c r="J19" s="27"/>
      <c r="K19" s="37">
        <v>1000</v>
      </c>
      <c r="L19" s="37"/>
      <c r="M19" s="32"/>
      <c r="N19" s="37"/>
      <c r="O19" s="37"/>
      <c r="P19" s="38"/>
      <c r="Q19" s="3">
        <f t="shared" si="0"/>
        <v>8500</v>
      </c>
      <c r="R19" s="6">
        <f t="shared" si="1"/>
        <v>9000</v>
      </c>
      <c r="S19" s="39"/>
      <c r="T19" s="7" t="str">
        <f t="shared" si="2"/>
        <v>Low Paid</v>
      </c>
      <c r="U19" s="40"/>
    </row>
    <row r="20" spans="1:21" ht="21.75" customHeight="1" x14ac:dyDescent="0.25">
      <c r="A20" s="14">
        <v>16</v>
      </c>
      <c r="B20" s="26" t="s">
        <v>70</v>
      </c>
      <c r="C20" s="33"/>
      <c r="D20" s="45">
        <v>18000</v>
      </c>
      <c r="E20" s="34">
        <v>1500</v>
      </c>
      <c r="F20" s="35">
        <v>2000</v>
      </c>
      <c r="G20" s="36">
        <v>4000</v>
      </c>
      <c r="H20" s="27"/>
      <c r="I20" s="27"/>
      <c r="J20" s="27"/>
      <c r="K20" s="37">
        <v>1000</v>
      </c>
      <c r="L20" s="37"/>
      <c r="M20" s="32"/>
      <c r="N20" s="37"/>
      <c r="O20" s="37"/>
      <c r="P20" s="38"/>
      <c r="Q20" s="3">
        <f t="shared" si="0"/>
        <v>8500</v>
      </c>
      <c r="R20" s="6">
        <f t="shared" si="1"/>
        <v>9500</v>
      </c>
      <c r="S20" s="39"/>
      <c r="T20" s="7" t="str">
        <f t="shared" si="2"/>
        <v>Low Paid</v>
      </c>
      <c r="U20" s="40"/>
    </row>
    <row r="21" spans="1:21" ht="21.75" customHeight="1" x14ac:dyDescent="0.25">
      <c r="A21" s="41" t="s">
        <v>61</v>
      </c>
      <c r="B21" s="20"/>
      <c r="C21" s="20"/>
      <c r="D21" s="21">
        <f>SUM(D4:D18)</f>
        <v>219800</v>
      </c>
      <c r="E21" s="21">
        <f>SUM(E4:E19)</f>
        <v>13700</v>
      </c>
      <c r="F21" s="21">
        <f>SUM(F4:F17)</f>
        <v>12500</v>
      </c>
      <c r="G21" s="21">
        <f>SUM(G4:G18)</f>
        <v>39000</v>
      </c>
      <c r="H21" s="21">
        <f>SUM(H4:H15)</f>
        <v>4000</v>
      </c>
      <c r="I21" s="21">
        <f>SUM(I4:I15)</f>
        <v>7200</v>
      </c>
      <c r="J21" s="21">
        <f>SUM(J4:J15)</f>
        <v>10000</v>
      </c>
      <c r="K21" s="21">
        <f>SUM(K4:K15)</f>
        <v>7000</v>
      </c>
      <c r="L21" s="21">
        <f>SUM(L4:L15)</f>
        <v>3000</v>
      </c>
      <c r="M21" s="21"/>
      <c r="N21" s="21">
        <f>SUM(N4:N15)</f>
        <v>1000</v>
      </c>
      <c r="O21" s="21">
        <f>SUM(O4:O15)</f>
        <v>1000</v>
      </c>
      <c r="P21" s="21">
        <f>SUM(P4:P15)</f>
        <v>3500</v>
      </c>
      <c r="Q21" s="21">
        <f>SUM(Q4:Q19)</f>
        <v>113900</v>
      </c>
      <c r="R21" s="21">
        <f>SUM(R4:R19)</f>
        <v>127400</v>
      </c>
      <c r="S21" s="21"/>
      <c r="T21" s="22"/>
      <c r="U21" s="23"/>
    </row>
    <row r="22" spans="1:21" ht="21.75" customHeight="1" x14ac:dyDescent="0.25"/>
    <row r="23" spans="1:21" ht="21.75" customHeight="1" x14ac:dyDescent="0.25"/>
    <row r="24" spans="1:21" ht="25.5" customHeight="1" x14ac:dyDescent="0.25"/>
    <row r="33" spans="2:21" x14ac:dyDescent="0.25">
      <c r="B33" s="25" t="s">
        <v>62</v>
      </c>
      <c r="C33" s="25" t="s">
        <v>63</v>
      </c>
      <c r="D33" s="25">
        <v>17500</v>
      </c>
      <c r="E33" s="9"/>
      <c r="F33" s="31"/>
      <c r="G33" s="4"/>
      <c r="H33" s="9"/>
      <c r="I33" s="9"/>
      <c r="J33" s="9"/>
      <c r="K33" s="9"/>
      <c r="L33" s="9"/>
      <c r="M33" s="9"/>
      <c r="N33" s="9"/>
      <c r="O33" s="9"/>
      <c r="P33" s="5"/>
      <c r="Q33" s="3">
        <f>SUM(E33:P33)</f>
        <v>0</v>
      </c>
      <c r="R33" s="6">
        <f>D33-Q33</f>
        <v>17500</v>
      </c>
      <c r="S33" s="13">
        <v>46209</v>
      </c>
      <c r="T33" s="7" t="str">
        <f>IF(Q33=0,"Unpaid",IF(R33=0,"Cleared",IF(Q33/D33&gt;=0.5,"Partial","Low Paid")))</f>
        <v>Unpaid</v>
      </c>
      <c r="U33" s="42" t="s">
        <v>64</v>
      </c>
    </row>
  </sheetData>
  <mergeCells count="2">
    <mergeCell ref="A1:U1"/>
    <mergeCell ref="A2:U2"/>
  </mergeCells>
  <phoneticPr fontId="14" type="noConversion"/>
  <conditionalFormatting sqref="T4:T20 T33">
    <cfRule type="cellIs" dxfId="5" priority="13" operator="equal">
      <formula>"Cleared"</formula>
    </cfRule>
    <cfRule type="cellIs" dxfId="4" priority="14" operator="equal">
      <formula>"Partial"</formula>
    </cfRule>
    <cfRule type="cellIs" dxfId="3" priority="15" operator="equal">
      <formula>"Low Paid"</formula>
    </cfRule>
    <cfRule type="cellIs" dxfId="2" priority="16" operator="equal">
      <formula>"Unpaid"</formula>
    </cfRule>
    <cfRule type="cellIs" dxfId="1" priority="17" operator="equal">
      <formula>"   Unpaid"</formula>
    </cfRule>
  </conditionalFormatting>
  <conditionalFormatting sqref="T9">
    <cfRule type="cellIs" dxfId="0" priority="1" operator="equal">
      <formula>"paid"</formula>
    </cfRule>
  </conditionalFormatting>
  <conditionalFormatting sqref="T33 T4:T20">
    <cfRule type="iconSet" priority="18">
      <iconSet iconSet="3Symbols2">
        <cfvo type="percent" val="0"/>
        <cfvo type="percent" val="33"/>
        <cfvo type="percent" val="67"/>
      </iconSet>
    </cfRule>
  </conditionalFormatting>
  <dataValidations count="3">
    <dataValidation allowBlank="1" showInputMessage="1" showErrorMessage="1" promptTitle="FEE!" prompt="REG FEE 4000!" sqref="G33 G18:G20 G4:G16" xr:uid="{F8AB04CC-9F8D-4579-9821-9E61701A7BA6}"/>
    <dataValidation allowBlank="1" showInputMessage="1" showErrorMessage="1" promptTitle="FEE!" prompt="DMC Ver... 2000" sqref="F33 F18:F20 F4:F16" xr:uid="{EB182D61-1CB7-4866-BED2-DBA4F35F86E8}"/>
    <dataValidation allowBlank="1" showInputMessage="1" showErrorMessage="1" promptTitle="FEE!" prompt="FEE 1000!" sqref="H11:J16 H33:O33 K11:O20 H18:J20 H4:O10" xr:uid="{F10CB8D5-A8C8-46C9-AC7F-2DBF6B875763}"/>
  </dataValidations>
  <pageMargins left="0.75" right="0.75" top="1" bottom="1" header="0.511811023622047" footer="0.511811023622047"/>
  <pageSetup paperSize="17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582FB-595A-4CF6-A022-E3E2E4A14170}">
  <dimension ref="A1:E2"/>
  <sheetViews>
    <sheetView workbookViewId="0"/>
  </sheetViews>
  <sheetFormatPr defaultRowHeight="15" x14ac:dyDescent="0.25"/>
  <cols>
    <col min="1" max="5" width="19" customWidth="1"/>
  </cols>
  <sheetData>
    <row r="1" spans="1:5" x14ac:dyDescent="0.25">
      <c r="A1" t="s">
        <v>65</v>
      </c>
      <c r="B1" s="43" t="s">
        <v>66</v>
      </c>
      <c r="C1" s="43" t="s">
        <v>67</v>
      </c>
      <c r="D1" t="s">
        <v>68</v>
      </c>
      <c r="E1" t="s">
        <v>69</v>
      </c>
    </row>
    <row r="2" spans="1:5" x14ac:dyDescent="0.25">
      <c r="B2" s="43"/>
      <c r="C2" s="4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Form1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ASDI ATD</cp:lastModifiedBy>
  <cp:revision>0</cp:revision>
  <dcterms:created xsi:type="dcterms:W3CDTF">2026-06-06T06:33:24Z</dcterms:created>
  <dcterms:modified xsi:type="dcterms:W3CDTF">2026-10-24T09:20:00Z</dcterms:modified>
  <cp:category/>
  <cp:contentStatus/>
</cp:coreProperties>
</file>