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1a1f9411706e7a40/RECORDS!!/"/>
    </mc:Choice>
  </mc:AlternateContent>
  <xr:revisionPtr revIDLastSave="46" documentId="10_ncr:8000_{7180E723-4DFC-4BEA-83B7-290ACC5F87E8}" xr6:coauthVersionLast="47" xr6:coauthVersionMax="47" xr10:uidLastSave="{940CBE73-4328-411B-958D-F9C3C6D4BC37}"/>
  <bookViews>
    <workbookView xWindow="-120" yWindow="-120" windowWidth="21840" windowHeight="13260" xr2:uid="{00000000-000D-0000-FFFF-FFFF00000000}"/>
  </bookViews>
  <sheets>
    <sheet name="fee" sheetId="1" r:id="rId1"/>
    <sheet name="new batch" sheetId="4" r:id="rId2"/>
  </sheets>
  <definedNames>
    <definedName name="Slicer_Status">#N/A</definedName>
    <definedName name="Slicer_Status1">#N/A</definedName>
  </definedNames>
  <calcPr calcId="191029" calcComplete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5" i="1" l="1"/>
  <c r="B5" i="1"/>
  <c r="A5" i="1"/>
  <c r="G10" i="4"/>
  <c r="G11" i="4"/>
  <c r="G12" i="4"/>
  <c r="G13" i="4"/>
  <c r="G14" i="4"/>
  <c r="G15" i="4"/>
  <c r="G16" i="4"/>
  <c r="G17" i="4"/>
  <c r="G18" i="4"/>
  <c r="G19" i="4"/>
  <c r="G20" i="4"/>
  <c r="G21" i="4"/>
  <c r="G22" i="4"/>
  <c r="G23" i="4"/>
  <c r="G24" i="4"/>
  <c r="G25" i="4"/>
  <c r="G26" i="4"/>
  <c r="G27" i="4"/>
  <c r="G28" i="4"/>
  <c r="G29" i="4"/>
  <c r="F47" i="4"/>
  <c r="B5" i="4" s="1"/>
  <c r="E47" i="4"/>
  <c r="A5" i="4" s="1"/>
  <c r="H46" i="4"/>
  <c r="G46" i="4"/>
  <c r="H45" i="4"/>
  <c r="G45" i="4"/>
  <c r="H44" i="4"/>
  <c r="G44" i="4"/>
  <c r="G43" i="4"/>
  <c r="H42" i="4"/>
  <c r="G42" i="4"/>
  <c r="H41" i="4"/>
  <c r="G41" i="4"/>
  <c r="H40" i="4"/>
  <c r="G40" i="4"/>
  <c r="H39" i="4"/>
  <c r="G39" i="4"/>
  <c r="H38" i="4"/>
  <c r="G38" i="4"/>
  <c r="H37" i="4"/>
  <c r="G37" i="4"/>
  <c r="H36" i="4"/>
  <c r="G36" i="4"/>
  <c r="M35" i="4"/>
  <c r="H5" i="4" s="1"/>
  <c r="H35" i="4"/>
  <c r="G35" i="4"/>
  <c r="H34" i="4"/>
  <c r="G34" i="4"/>
  <c r="H33" i="4"/>
  <c r="G33" i="4"/>
  <c r="H32" i="4"/>
  <c r="G32" i="4"/>
  <c r="H31" i="4"/>
  <c r="G31" i="4"/>
  <c r="H30" i="4"/>
  <c r="G30" i="4"/>
  <c r="H29" i="4"/>
  <c r="H28" i="4"/>
  <c r="H27" i="4"/>
  <c r="H26" i="4"/>
  <c r="H25" i="4"/>
  <c r="H24" i="4"/>
  <c r="H23" i="4"/>
  <c r="H22" i="4"/>
  <c r="H21" i="4"/>
  <c r="H20" i="4"/>
  <c r="H19" i="4"/>
  <c r="H18" i="4"/>
  <c r="H17" i="4"/>
  <c r="H16" i="4"/>
  <c r="H15" i="4"/>
  <c r="H14" i="4"/>
  <c r="H13" i="4"/>
  <c r="H12" i="4"/>
  <c r="H11" i="4"/>
  <c r="H10" i="4"/>
  <c r="H9" i="4"/>
  <c r="G9" i="4"/>
  <c r="H8" i="4"/>
  <c r="G8" i="4"/>
  <c r="H46" i="1"/>
  <c r="G46" i="1"/>
  <c r="G43" i="1"/>
  <c r="H42" i="1"/>
  <c r="G42" i="1"/>
  <c r="F5" i="4" l="1"/>
  <c r="C5" i="4"/>
  <c r="D5" i="4"/>
  <c r="J5" i="4" s="1"/>
  <c r="H23" i="1"/>
  <c r="H24" i="1"/>
  <c r="H25" i="1"/>
  <c r="H26" i="1"/>
  <c r="H27" i="1"/>
  <c r="H28" i="1"/>
  <c r="H29" i="1"/>
  <c r="H30" i="1"/>
  <c r="H31" i="1"/>
  <c r="H32" i="1"/>
  <c r="H33" i="1"/>
  <c r="H34" i="1"/>
  <c r="H35" i="1"/>
  <c r="H36" i="1"/>
  <c r="H37" i="1"/>
  <c r="H38" i="1"/>
  <c r="H39" i="1"/>
  <c r="H40" i="1"/>
  <c r="H41" i="1"/>
  <c r="H44" i="1"/>
  <c r="H45" i="1"/>
  <c r="H5" i="1"/>
  <c r="C93" i="1"/>
  <c r="C94" i="1"/>
  <c r="C95" i="1"/>
  <c r="C96" i="1"/>
  <c r="C97" i="1"/>
  <c r="C98" i="1"/>
  <c r="C99" i="1"/>
  <c r="B96" i="1"/>
  <c r="B97" i="1"/>
  <c r="B98" i="1"/>
  <c r="B93" i="1"/>
  <c r="B94" i="1"/>
  <c r="B95" i="1"/>
  <c r="E47" i="1"/>
  <c r="F47" i="1"/>
  <c r="D5" i="1" s="1"/>
  <c r="G36" i="1"/>
  <c r="G37" i="1"/>
  <c r="G38" i="1"/>
  <c r="G39" i="1"/>
  <c r="G40" i="1"/>
  <c r="G41" i="1"/>
  <c r="G44" i="1"/>
  <c r="J5" i="1" l="1"/>
  <c r="C5" i="1"/>
  <c r="F5" i="1"/>
  <c r="H8" i="1" l="1"/>
  <c r="G35" i="1"/>
  <c r="G9" i="1"/>
  <c r="G10" i="1"/>
  <c r="G11" i="1"/>
  <c r="G12" i="1"/>
  <c r="G13" i="1"/>
  <c r="G14" i="1"/>
  <c r="G15" i="1"/>
  <c r="G16" i="1"/>
  <c r="G17" i="1"/>
  <c r="G18" i="1"/>
  <c r="G19" i="1"/>
  <c r="G20" i="1"/>
  <c r="G21" i="1"/>
  <c r="G22" i="1"/>
  <c r="G23" i="1"/>
  <c r="G25" i="1"/>
  <c r="G26" i="1"/>
  <c r="G27" i="1"/>
  <c r="G28" i="1"/>
  <c r="G29" i="1"/>
  <c r="G30" i="1"/>
  <c r="G31" i="1"/>
  <c r="G32" i="1"/>
  <c r="G33" i="1"/>
  <c r="G34" i="1"/>
  <c r="G45" i="1"/>
  <c r="G8" i="1"/>
  <c r="H22" i="1" l="1"/>
  <c r="H21" i="1"/>
  <c r="H20" i="1"/>
  <c r="H19" i="1"/>
  <c r="H18" i="1"/>
  <c r="H17" i="1"/>
  <c r="H16" i="1"/>
  <c r="H15" i="1"/>
  <c r="H14" i="1"/>
  <c r="H13" i="1"/>
  <c r="H12" i="1"/>
  <c r="H11" i="1"/>
  <c r="H10" i="1"/>
  <c r="H9" i="1"/>
  <c r="G47" i="4" l="1"/>
  <c r="G47" i="1"/>
</calcChain>
</file>

<file path=xl/sharedStrings.xml><?xml version="1.0" encoding="utf-8"?>
<sst xmlns="http://schemas.openxmlformats.org/spreadsheetml/2006/main" count="230" uniqueCount="120">
  <si>
    <t>ENGLISH LANGUAGE CLASS — SPRING / FALL 2026</t>
  </si>
  <si>
    <t>Timing: 02:00  |  Teacher: Sir Qasim</t>
  </si>
  <si>
    <t>unpaid</t>
  </si>
  <si>
    <t>TOTAL FEE</t>
  </si>
  <si>
    <t>FEE RECEIVED</t>
  </si>
  <si>
    <t>OUTSTANDING</t>
  </si>
  <si>
    <t>TEACHER SHARE</t>
  </si>
  <si>
    <t>ACADEMY SHARE</t>
  </si>
  <si>
    <t>TEACHER PAID</t>
  </si>
  <si>
    <t>Teacher Remaining</t>
  </si>
  <si>
    <t>Payments</t>
  </si>
  <si>
    <t xml:space="preserve">  </t>
  </si>
  <si>
    <t>Student Name</t>
  </si>
  <si>
    <t>Father's Name</t>
  </si>
  <si>
    <t>Subject</t>
  </si>
  <si>
    <t>Total Fee</t>
  </si>
  <si>
    <t>Paid</t>
  </si>
  <si>
    <t>Balance</t>
  </si>
  <si>
    <t>Status</t>
  </si>
  <si>
    <t>Contact</t>
  </si>
  <si>
    <t>Next Date</t>
  </si>
  <si>
    <t>Date of Payment</t>
  </si>
  <si>
    <t>Amount of payment</t>
  </si>
  <si>
    <t>MARWA NOOR ABBASI</t>
  </si>
  <si>
    <t>NAWAZ HASSAN</t>
  </si>
  <si>
    <t>ENG</t>
  </si>
  <si>
    <t>03129223111</t>
  </si>
  <si>
    <t>ABDULLAH</t>
  </si>
  <si>
    <t>KHALID MEHMOOD</t>
  </si>
  <si>
    <t>03365032429</t>
  </si>
  <si>
    <t>AHSAN ALI</t>
  </si>
  <si>
    <t>M ZAKIR</t>
  </si>
  <si>
    <t>03705216585</t>
  </si>
  <si>
    <t>HUSSNAIN</t>
  </si>
  <si>
    <t>HAROON UR RASHEED</t>
  </si>
  <si>
    <t>03148941192</t>
  </si>
  <si>
    <t>INAMULLAH</t>
  </si>
  <si>
    <t>JAVAID</t>
  </si>
  <si>
    <t>03705543514</t>
  </si>
  <si>
    <t>KHADIJA BIBI</t>
  </si>
  <si>
    <t>SAFDER KHAN</t>
  </si>
  <si>
    <t>03208644680</t>
  </si>
  <si>
    <t>MARYAM PARVEZ</t>
  </si>
  <si>
    <t>M PARVAZ</t>
  </si>
  <si>
    <t>03198098693</t>
  </si>
  <si>
    <t>MUHAMMAD NAHEED</t>
  </si>
  <si>
    <t>M NAZIR</t>
  </si>
  <si>
    <t>03209623091</t>
  </si>
  <si>
    <t>MUHAMMAD USAMA ABBASI</t>
  </si>
  <si>
    <t>M SADDIQUE</t>
  </si>
  <si>
    <t>03375368052</t>
  </si>
  <si>
    <t>MUHAMMAD WALEED</t>
  </si>
  <si>
    <t>M NASEEM</t>
  </si>
  <si>
    <t>03449177896</t>
  </si>
  <si>
    <t>03255052362</t>
  </si>
  <si>
    <t>MUSTAJAB AHMED</t>
  </si>
  <si>
    <t>FARHAD</t>
  </si>
  <si>
    <t>SUDAIS ZAKIR</t>
  </si>
  <si>
    <t>ZAKIR</t>
  </si>
  <si>
    <t>SUDAIS AZEEM</t>
  </si>
  <si>
    <t>M AZEEM</t>
  </si>
  <si>
    <t>03445384087</t>
  </si>
  <si>
    <t>SYED ALI MEHDI</t>
  </si>
  <si>
    <t>DASTAR ALI SHAH</t>
  </si>
  <si>
    <t>03295499572</t>
  </si>
  <si>
    <t>UZAIR AHMED</t>
  </si>
  <si>
    <t>RIASAT</t>
  </si>
  <si>
    <t>03165418351</t>
  </si>
  <si>
    <t>YASEEN</t>
  </si>
  <si>
    <t>ZIAFAT</t>
  </si>
  <si>
    <t>MUNEEB UR REHMAN</t>
  </si>
  <si>
    <t xml:space="preserve">SASIF UR REHMAN </t>
  </si>
  <si>
    <t xml:space="preserve">                    </t>
  </si>
  <si>
    <t>03161901569</t>
  </si>
  <si>
    <t>AIMAN SAEED KHAN</t>
  </si>
  <si>
    <t>M SAEED KHAN</t>
  </si>
  <si>
    <t>MOMINA IQBAL</t>
  </si>
  <si>
    <t>IQBAL</t>
  </si>
  <si>
    <t>TAYYAB</t>
  </si>
  <si>
    <t>TALHA</t>
  </si>
  <si>
    <t>MAZHER</t>
  </si>
  <si>
    <t>Total</t>
  </si>
  <si>
    <t>AMANH</t>
  </si>
  <si>
    <t>GULFATAR</t>
  </si>
  <si>
    <t>RIMSHA</t>
  </si>
  <si>
    <t>SHERAZ</t>
  </si>
  <si>
    <t>ANUM</t>
  </si>
  <si>
    <t>SAFDAR KHAN</t>
  </si>
  <si>
    <t>MUHAMMAD ZAIN</t>
  </si>
  <si>
    <t>MUHAMMAD IQBAL</t>
  </si>
  <si>
    <t>MOEEN</t>
  </si>
  <si>
    <t>M NASEER</t>
  </si>
  <si>
    <t>KHUSHBAKHT</t>
  </si>
  <si>
    <t/>
  </si>
  <si>
    <t>JAWAD AHMED</t>
  </si>
  <si>
    <t>ABDUL QADIR</t>
  </si>
  <si>
    <t>WAQAR</t>
  </si>
  <si>
    <t>JASIM</t>
  </si>
  <si>
    <t>ARIBA</t>
  </si>
  <si>
    <t>FAWAD KHAN</t>
  </si>
  <si>
    <t xml:space="preserve">SAIF ULLAH </t>
  </si>
  <si>
    <t>TAHIR RAHEEM</t>
  </si>
  <si>
    <t>HASSAN ALI KHAN</t>
  </si>
  <si>
    <t>MUJEEB ULLAH</t>
  </si>
  <si>
    <t>FAZAL HADI</t>
  </si>
  <si>
    <t>MUHAMMAD ALI</t>
  </si>
  <si>
    <t>MUHAMMAD SALEEM</t>
  </si>
  <si>
    <t>TOTAL</t>
  </si>
  <si>
    <t xml:space="preserve">   </t>
  </si>
  <si>
    <t>REHAN</t>
  </si>
  <si>
    <t>S.No</t>
  </si>
  <si>
    <t>moheen</t>
  </si>
  <si>
    <t>AYESHA BASHIR</t>
  </si>
  <si>
    <t>MUHAMMAD BASHIR</t>
  </si>
  <si>
    <t>taqi abbasi</t>
  </si>
  <si>
    <t>Timing: 02:00  |  Teacher: Sir Qasim        |         New Batch  September 2026</t>
  </si>
  <si>
    <t>SAIF ULLAH</t>
  </si>
  <si>
    <t>SHAHZAIB</t>
  </si>
  <si>
    <t>HIFZA</t>
  </si>
  <si>
    <t xml:space="preserve">Ibrahim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</si>
</sst>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s&quot;* #,##0.00_-;\-&quot;Rs&quot;* #,##0.00_-;_-&quot;Rs&quot;* &quot;-&quot;??_-;_-@_-"/>
    <numFmt numFmtId="43" formatCode="_-* #,##0.00_-;\-* #,##0.00_-;_-* &quot;-&quot;??_-;_-@_-"/>
    <numFmt numFmtId="164" formatCode="_(&quot;$&quot;* #,##0.00_);_(&quot;$&quot;* \(#,##0.00\);_(&quot;$&quot;* &quot;-&quot;??_);_(@_)"/>
    <numFmt numFmtId="165" formatCode="[$]d\ mmmm\ yyyy;@" x16r2:formatCode16="[$-en-PK,1]d\ mmmm\ yyyy;@"/>
  </numFmts>
  <fonts count="23" x14ac:knownFonts="1">
    <font>
      <sz val="11"/>
      <color theme="1"/>
      <name val="Calibri"/>
      <family val="2"/>
      <scheme val="minor"/>
    </font>
    <font>
      <sz val="11"/>
      <color theme="1"/>
      <name val="Calibri"/>
      <family val="2"/>
      <scheme val="minor"/>
    </font>
    <font>
      <u/>
      <sz val="11"/>
      <color theme="10"/>
      <name val="Calibri"/>
      <family val="2"/>
      <scheme val="minor"/>
    </font>
    <font>
      <sz val="11"/>
      <color theme="1"/>
      <name val="Calibri"/>
      <family val="2"/>
      <charset val="1"/>
    </font>
    <font>
      <b/>
      <sz val="18"/>
      <color theme="0"/>
      <name val="Arial"/>
      <family val="2"/>
    </font>
    <font>
      <i/>
      <sz val="10"/>
      <color rgb="FFB0D4E0"/>
      <name val="Arial"/>
      <family val="2"/>
    </font>
    <font>
      <b/>
      <sz val="12"/>
      <color theme="1"/>
      <name val="Calibri"/>
      <family val="2"/>
      <scheme val="minor"/>
    </font>
    <font>
      <b/>
      <sz val="8"/>
      <color theme="0"/>
      <name val="Arial"/>
      <family val="2"/>
    </font>
    <font>
      <b/>
      <sz val="12"/>
      <color theme="0"/>
      <name val="Arial"/>
      <family val="2"/>
    </font>
    <font>
      <b/>
      <sz val="11"/>
      <color theme="0"/>
      <name val="Arial"/>
      <family val="2"/>
    </font>
    <font>
      <sz val="11"/>
      <color theme="0"/>
      <name val="Calibri"/>
      <family val="2"/>
      <charset val="1"/>
    </font>
    <font>
      <b/>
      <sz val="10"/>
      <color rgb="FFFFFFFF"/>
      <name val="Arial"/>
      <family val="2"/>
    </font>
    <font>
      <sz val="10"/>
      <color rgb="FF1A1A2E"/>
      <name val="Arial"/>
      <family val="2"/>
    </font>
    <font>
      <sz val="9"/>
      <color rgb="FF555555"/>
      <name val="Arial"/>
      <family val="2"/>
    </font>
    <font>
      <b/>
      <sz val="10"/>
      <color rgb="FF1A1A2E"/>
      <name val="Arial"/>
      <family val="2"/>
    </font>
    <font>
      <b/>
      <sz val="11"/>
      <color theme="1"/>
      <name val="Calibri"/>
      <family val="2"/>
    </font>
    <font>
      <i/>
      <sz val="9"/>
      <color rgb="FF557788"/>
      <name val="Arial"/>
      <family val="2"/>
    </font>
    <font>
      <b/>
      <sz val="10"/>
      <color rgb="FFFFD97D"/>
      <name val="Arial"/>
      <family val="2"/>
    </font>
    <font>
      <b/>
      <sz val="36"/>
      <color theme="0"/>
      <name val="Calibri"/>
      <family val="2"/>
      <scheme val="minor"/>
    </font>
    <font>
      <sz val="11"/>
      <color rgb="FF006100"/>
      <name val="Calibri"/>
      <family val="2"/>
      <scheme val="minor"/>
    </font>
    <font>
      <b/>
      <i/>
      <u/>
      <sz val="36"/>
      <color theme="0"/>
      <name val="Arial"/>
      <family val="2"/>
    </font>
    <font>
      <b/>
      <sz val="9"/>
      <color theme="0"/>
      <name val="Arial"/>
      <family val="2"/>
    </font>
    <font>
      <b/>
      <i/>
      <sz val="10"/>
      <color rgb="FF1A1A2E"/>
      <name val="Arial"/>
      <family val="2"/>
    </font>
  </fonts>
  <fills count="22">
    <fill>
      <patternFill patternType="none"/>
    </fill>
    <fill>
      <patternFill patternType="gray125"/>
    </fill>
    <fill>
      <patternFill patternType="solid">
        <fgColor theme="3" tint="-0.499984740745262"/>
        <bgColor rgb="FF1A1A2E"/>
      </patternFill>
    </fill>
    <fill>
      <patternFill patternType="solid">
        <fgColor rgb="FF203A43"/>
        <bgColor rgb="FF1A3A5C"/>
      </patternFill>
    </fill>
    <fill>
      <patternFill patternType="solid">
        <fgColor rgb="FF1A4A5C"/>
        <bgColor rgb="FF1A3A5C"/>
      </patternFill>
    </fill>
    <fill>
      <patternFill patternType="solid">
        <fgColor rgb="FF145C3A"/>
        <bgColor rgb="FF1A4A5C"/>
      </patternFill>
    </fill>
    <fill>
      <patternFill patternType="solid">
        <fgColor rgb="FF5C1A1A"/>
        <bgColor rgb="FF800000"/>
      </patternFill>
    </fill>
    <fill>
      <patternFill patternType="solid">
        <fgColor rgb="FF1A3A5C"/>
        <bgColor rgb="FF203A43"/>
      </patternFill>
    </fill>
    <fill>
      <patternFill patternType="solid">
        <fgColor rgb="FF3A4A1A"/>
        <bgColor rgb="FF203A43"/>
      </patternFill>
    </fill>
    <fill>
      <patternFill patternType="solid">
        <fgColor theme="4"/>
        <bgColor rgb="FF203A43"/>
      </patternFill>
    </fill>
    <fill>
      <patternFill patternType="solid">
        <fgColor theme="2" tint="-0.499984740745262"/>
        <bgColor rgb="FF203A43"/>
      </patternFill>
    </fill>
    <fill>
      <patternFill patternType="solid">
        <fgColor theme="4"/>
        <bgColor indexed="64"/>
      </patternFill>
    </fill>
    <fill>
      <patternFill patternType="solid">
        <fgColor theme="2" tint="-0.499984740745262"/>
        <bgColor indexed="64"/>
      </patternFill>
    </fill>
    <fill>
      <patternFill patternType="solid">
        <fgColor rgb="FFF0F8FF"/>
        <bgColor rgb="FFEEF6FA"/>
      </patternFill>
    </fill>
    <fill>
      <patternFill patternType="solid">
        <fgColor rgb="FFFFFFFF"/>
        <bgColor rgb="FFF0F8FF"/>
      </patternFill>
    </fill>
    <fill>
      <patternFill patternType="solid">
        <fgColor rgb="FFEEF6FA"/>
        <bgColor rgb="FFF0F8FF"/>
      </patternFill>
    </fill>
    <fill>
      <patternFill patternType="solid">
        <fgColor rgb="FF00B0F0"/>
        <bgColor indexed="64"/>
      </patternFill>
    </fill>
    <fill>
      <patternFill patternType="solid">
        <fgColor rgb="FFFFFF00"/>
        <bgColor rgb="FFF0F8FF"/>
      </patternFill>
    </fill>
    <fill>
      <patternFill patternType="solid">
        <fgColor rgb="FFFFFF00"/>
        <bgColor rgb="FFEEF6FA"/>
      </patternFill>
    </fill>
    <fill>
      <patternFill patternType="solid">
        <fgColor rgb="FFC6EFCE"/>
      </patternFill>
    </fill>
    <fill>
      <patternFill patternType="solid">
        <fgColor theme="5"/>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theme="3"/>
      </left>
      <right style="thin">
        <color theme="3"/>
      </right>
      <top style="thin">
        <color theme="3"/>
      </top>
      <bottom/>
      <diagonal/>
    </border>
    <border>
      <left/>
      <right style="thin">
        <color rgb="FFB0C4D8"/>
      </right>
      <top style="thin">
        <color theme="3"/>
      </top>
      <bottom/>
      <diagonal/>
    </border>
    <border>
      <left style="thin">
        <color rgb="FFB0C4D8"/>
      </left>
      <right style="thin">
        <color rgb="FFB0C4D8"/>
      </right>
      <top style="thin">
        <color theme="3"/>
      </top>
      <bottom/>
      <diagonal/>
    </border>
    <border>
      <left style="thin">
        <color rgb="FFB0C4D8"/>
      </left>
      <right style="thin">
        <color theme="3"/>
      </right>
      <top style="thin">
        <color theme="3"/>
      </top>
      <bottom/>
      <diagonal/>
    </border>
    <border>
      <left style="thin">
        <color theme="3"/>
      </left>
      <right style="thin">
        <color theme="3"/>
      </right>
      <top style="thin">
        <color rgb="FFB0C4D8"/>
      </top>
      <bottom/>
      <diagonal/>
    </border>
    <border>
      <left/>
      <right style="thin">
        <color theme="3"/>
      </right>
      <top style="thin">
        <color rgb="FFB0C4D8"/>
      </top>
      <bottom/>
      <diagonal/>
    </border>
    <border>
      <left style="thin">
        <color theme="3"/>
      </left>
      <right style="thin">
        <color theme="3"/>
      </right>
      <top style="thin">
        <color theme="3"/>
      </top>
      <bottom style="thin">
        <color indexed="64"/>
      </bottom>
      <diagonal/>
    </border>
    <border>
      <left/>
      <right/>
      <top style="thin">
        <color theme="3"/>
      </top>
      <bottom/>
      <diagonal/>
    </border>
    <border>
      <left/>
      <right/>
      <top style="thin">
        <color theme="3"/>
      </top>
      <bottom style="thin">
        <color indexed="64"/>
      </bottom>
      <diagonal/>
    </border>
    <border>
      <left/>
      <right style="thin">
        <color theme="3"/>
      </right>
      <top style="thin">
        <color theme="3"/>
      </top>
      <bottom style="thin">
        <color indexed="64"/>
      </bottom>
      <diagonal/>
    </border>
    <border>
      <left style="thin">
        <color theme="3"/>
      </left>
      <right style="thin">
        <color theme="3"/>
      </right>
      <top style="thin">
        <color indexed="64"/>
      </top>
      <bottom style="thin">
        <color indexed="64"/>
      </bottom>
      <diagonal/>
    </border>
    <border>
      <left/>
      <right style="thin">
        <color theme="3"/>
      </right>
      <top style="thin">
        <color indexed="64"/>
      </top>
      <bottom style="thin">
        <color indexed="64"/>
      </bottom>
      <diagonal/>
    </border>
    <border>
      <left style="thin">
        <color theme="3"/>
      </left>
      <right style="thin">
        <color theme="3"/>
      </right>
      <top style="thin">
        <color indexed="64"/>
      </top>
      <bottom/>
      <diagonal/>
    </border>
    <border>
      <left/>
      <right style="thin">
        <color theme="3"/>
      </right>
      <top style="thin">
        <color indexed="64"/>
      </top>
      <bottom/>
      <diagonal/>
    </border>
    <border>
      <left/>
      <right style="thin">
        <color theme="3"/>
      </right>
      <top style="thin">
        <color theme="3"/>
      </top>
      <bottom/>
      <diagonal/>
    </border>
    <border>
      <left/>
      <right/>
      <top style="thin">
        <color indexed="64"/>
      </top>
      <bottom style="thin">
        <color indexed="64"/>
      </bottom>
      <diagonal/>
    </border>
    <border>
      <left/>
      <right/>
      <top style="thin">
        <color indexed="64"/>
      </top>
      <bottom/>
      <diagonal/>
    </border>
    <border>
      <left style="thin">
        <color theme="3"/>
      </left>
      <right style="thin">
        <color theme="3"/>
      </right>
      <top style="thin">
        <color indexed="64"/>
      </top>
      <bottom style="thin">
        <color theme="3"/>
      </bottom>
      <diagonal/>
    </border>
    <border>
      <left/>
      <right/>
      <top style="thin">
        <color rgb="FFB0C4D8"/>
      </top>
      <bottom/>
      <diagonal/>
    </border>
    <border>
      <left style="thin">
        <color indexed="64"/>
      </left>
      <right style="thin">
        <color indexed="64"/>
      </right>
      <top style="thin">
        <color theme="3"/>
      </top>
      <bottom/>
      <diagonal/>
    </border>
    <border>
      <left style="thin">
        <color indexed="64"/>
      </left>
      <right/>
      <top style="thin">
        <color theme="3"/>
      </top>
      <bottom/>
      <diagonal/>
    </border>
    <border>
      <left style="thin">
        <color rgb="FFB0C4D8"/>
      </left>
      <right style="thin">
        <color rgb="FFB0C4D8"/>
      </right>
      <top/>
      <bottom/>
      <diagonal/>
    </border>
    <border>
      <left style="thin">
        <color rgb="FF336699"/>
      </left>
      <right style="thin">
        <color rgb="FF336699"/>
      </right>
      <top style="thin">
        <color rgb="FF336699"/>
      </top>
      <bottom style="thin">
        <color rgb="FF336699"/>
      </bottom>
      <diagonal/>
    </border>
  </borders>
  <cellStyleXfs count="5">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0"/>
    <xf numFmtId="0" fontId="19" fillId="19" borderId="0" applyNumberFormat="0" applyBorder="0" applyAlignment="0" applyProtection="0"/>
  </cellStyleXfs>
  <cellXfs count="109">
    <xf numFmtId="0" fontId="0" fillId="0" borderId="0" xfId="0"/>
    <xf numFmtId="0" fontId="0" fillId="0" borderId="0" xfId="0" applyAlignment="1">
      <alignment horizontal="center"/>
    </xf>
    <xf numFmtId="0" fontId="3" fillId="0" borderId="0" xfId="3"/>
    <xf numFmtId="0" fontId="6" fillId="0" borderId="0" xfId="2" applyFont="1" applyAlignment="1">
      <alignment horizontal="center" vertical="center"/>
    </xf>
    <xf numFmtId="0" fontId="7" fillId="4" borderId="1" xfId="3" applyFont="1" applyFill="1" applyBorder="1" applyAlignment="1">
      <alignment horizontal="center" vertical="center" wrapText="1"/>
    </xf>
    <xf numFmtId="0" fontId="7" fillId="5" borderId="1" xfId="3" applyFont="1" applyFill="1" applyBorder="1" applyAlignment="1">
      <alignment horizontal="center" vertical="center" wrapText="1"/>
    </xf>
    <xf numFmtId="0" fontId="7" fillId="6" borderId="1" xfId="3" applyFont="1" applyFill="1" applyBorder="1" applyAlignment="1">
      <alignment horizontal="center" vertical="center" wrapText="1"/>
    </xf>
    <xf numFmtId="164" fontId="8" fillId="4" borderId="1" xfId="1" applyFont="1" applyFill="1" applyBorder="1" applyAlignment="1">
      <alignment horizontal="center" vertical="center" wrapText="1"/>
    </xf>
    <xf numFmtId="164" fontId="8" fillId="5" borderId="1" xfId="1" applyFont="1" applyFill="1" applyBorder="1" applyAlignment="1">
      <alignment horizontal="center" vertical="center" wrapText="1"/>
    </xf>
    <xf numFmtId="164" fontId="9" fillId="12" borderId="1" xfId="1" applyFont="1" applyFill="1" applyBorder="1" applyAlignment="1">
      <alignment horizontal="center"/>
    </xf>
    <xf numFmtId="0" fontId="10" fillId="0" borderId="0" xfId="3" applyFont="1"/>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11" fillId="4" borderId="4" xfId="3" applyFont="1" applyFill="1" applyBorder="1" applyAlignment="1">
      <alignment horizontal="center" vertical="center" wrapText="1"/>
    </xf>
    <xf numFmtId="0" fontId="11" fillId="4" borderId="5" xfId="3" applyFont="1" applyFill="1" applyBorder="1" applyAlignment="1">
      <alignment horizontal="center" vertical="center" wrapText="1"/>
    </xf>
    <xf numFmtId="0" fontId="11" fillId="4" borderId="6" xfId="3" applyFont="1" applyFill="1" applyBorder="1" applyAlignment="1">
      <alignment horizontal="center" vertical="center" wrapText="1"/>
    </xf>
    <xf numFmtId="0" fontId="13" fillId="13" borderId="8" xfId="3" applyFont="1" applyFill="1" applyBorder="1" applyAlignment="1">
      <alignment horizontal="center" vertical="center" wrapText="1"/>
    </xf>
    <xf numFmtId="164" fontId="12" fillId="13" borderId="10" xfId="1" applyFont="1" applyFill="1" applyBorder="1" applyAlignment="1">
      <alignment horizontal="right" vertical="center"/>
    </xf>
    <xf numFmtId="164" fontId="12" fillId="13" borderId="8" xfId="1" applyFont="1" applyFill="1" applyBorder="1" applyAlignment="1">
      <alignment horizontal="right" vertical="center"/>
    </xf>
    <xf numFmtId="164" fontId="12" fillId="13" borderId="11" xfId="1" applyFont="1" applyFill="1" applyBorder="1" applyAlignment="1">
      <alignment horizontal="center" vertical="center"/>
    </xf>
    <xf numFmtId="0" fontId="14" fillId="13" borderId="8" xfId="3" applyFont="1" applyFill="1" applyBorder="1" applyAlignment="1">
      <alignment horizontal="center" vertical="center" wrapText="1"/>
    </xf>
    <xf numFmtId="49" fontId="3" fillId="13" borderId="8" xfId="3" applyNumberFormat="1" applyFill="1" applyBorder="1"/>
    <xf numFmtId="164" fontId="15" fillId="13" borderId="13" xfId="1" applyFont="1" applyFill="1" applyBorder="1"/>
    <xf numFmtId="0" fontId="13" fillId="14" borderId="14" xfId="3" applyFont="1" applyFill="1" applyBorder="1" applyAlignment="1">
      <alignment horizontal="center" vertical="center" wrapText="1"/>
    </xf>
    <xf numFmtId="0" fontId="14" fillId="13" borderId="14" xfId="3" applyFont="1" applyFill="1" applyBorder="1" applyAlignment="1">
      <alignment horizontal="center" vertical="center" wrapText="1"/>
    </xf>
    <xf numFmtId="49" fontId="3" fillId="14" borderId="14" xfId="3" applyNumberFormat="1" applyFill="1" applyBorder="1"/>
    <xf numFmtId="164" fontId="15" fillId="14" borderId="13" xfId="1" applyFont="1" applyFill="1" applyBorder="1"/>
    <xf numFmtId="0" fontId="13" fillId="13" borderId="2" xfId="3" applyFont="1" applyFill="1" applyBorder="1" applyAlignment="1">
      <alignment horizontal="center" vertical="center" wrapText="1"/>
    </xf>
    <xf numFmtId="0" fontId="14" fillId="13" borderId="2" xfId="3" applyFont="1" applyFill="1" applyBorder="1" applyAlignment="1">
      <alignment horizontal="center" vertical="center" wrapText="1"/>
    </xf>
    <xf numFmtId="49" fontId="3" fillId="13" borderId="2" xfId="3" applyNumberFormat="1" applyFill="1" applyBorder="1"/>
    <xf numFmtId="0" fontId="13" fillId="14" borderId="8" xfId="3" applyFont="1" applyFill="1" applyBorder="1" applyAlignment="1">
      <alignment horizontal="center" vertical="center" wrapText="1"/>
    </xf>
    <xf numFmtId="49" fontId="3" fillId="14" borderId="8" xfId="3" applyNumberFormat="1" applyFill="1" applyBorder="1"/>
    <xf numFmtId="0" fontId="12" fillId="13" borderId="12" xfId="3" applyFont="1" applyFill="1" applyBorder="1" applyAlignment="1">
      <alignment horizontal="center" vertical="center" wrapText="1"/>
    </xf>
    <xf numFmtId="0" fontId="13" fillId="14" borderId="12" xfId="3" applyFont="1" applyFill="1" applyBorder="1" applyAlignment="1">
      <alignment horizontal="center" vertical="center" wrapText="1"/>
    </xf>
    <xf numFmtId="0" fontId="14" fillId="13" borderId="12" xfId="3" applyFont="1" applyFill="1" applyBorder="1" applyAlignment="1">
      <alignment horizontal="center" vertical="center" wrapText="1"/>
    </xf>
    <xf numFmtId="49" fontId="3" fillId="14" borderId="12" xfId="3" applyNumberFormat="1" applyFill="1" applyBorder="1"/>
    <xf numFmtId="0" fontId="13" fillId="13" borderId="12" xfId="3" applyFont="1" applyFill="1" applyBorder="1" applyAlignment="1">
      <alignment horizontal="center" vertical="center" wrapText="1"/>
    </xf>
    <xf numFmtId="0" fontId="12" fillId="13" borderId="14" xfId="3" applyFont="1" applyFill="1" applyBorder="1" applyAlignment="1">
      <alignment horizontal="center" vertical="center" wrapText="1"/>
    </xf>
    <xf numFmtId="0" fontId="13" fillId="13" borderId="14" xfId="3" applyFont="1" applyFill="1" applyBorder="1" applyAlignment="1">
      <alignment horizontal="center" vertical="center" wrapText="1"/>
    </xf>
    <xf numFmtId="0" fontId="14" fillId="13" borderId="13" xfId="3" applyFont="1" applyFill="1" applyBorder="1" applyAlignment="1">
      <alignment horizontal="center" vertical="center" wrapText="1"/>
    </xf>
    <xf numFmtId="0" fontId="14" fillId="13" borderId="15" xfId="3" applyFont="1" applyFill="1" applyBorder="1" applyAlignment="1">
      <alignment horizontal="center" vertical="center" wrapText="1"/>
    </xf>
    <xf numFmtId="0" fontId="14" fillId="13" borderId="17" xfId="3" applyFont="1" applyFill="1" applyBorder="1" applyAlignment="1">
      <alignment horizontal="center" vertical="center" wrapText="1"/>
    </xf>
    <xf numFmtId="0" fontId="12" fillId="13" borderId="17" xfId="3" applyFont="1" applyFill="1" applyBorder="1" applyAlignment="1">
      <alignment horizontal="center" vertical="center" wrapText="1"/>
    </xf>
    <xf numFmtId="0" fontId="2" fillId="0" borderId="0" xfId="2" applyAlignment="1">
      <alignment horizontal="center" vertical="center"/>
    </xf>
    <xf numFmtId="44" fontId="12" fillId="13" borderId="12" xfId="3" applyNumberFormat="1" applyFont="1" applyFill="1" applyBorder="1" applyAlignment="1">
      <alignment horizontal="center" vertical="center" wrapText="1"/>
    </xf>
    <xf numFmtId="164" fontId="12" fillId="14" borderId="12" xfId="1" applyFont="1" applyFill="1" applyBorder="1" applyAlignment="1">
      <alignment horizontal="right" vertical="center"/>
    </xf>
    <xf numFmtId="164" fontId="12" fillId="14" borderId="19" xfId="1" applyFont="1" applyFill="1" applyBorder="1" applyAlignment="1">
      <alignment horizontal="right" vertical="center"/>
    </xf>
    <xf numFmtId="0" fontId="12" fillId="13" borderId="18" xfId="3" applyFont="1" applyFill="1" applyBorder="1" applyAlignment="1">
      <alignment horizontal="center" vertical="center" wrapText="1"/>
    </xf>
    <xf numFmtId="0" fontId="0" fillId="0" borderId="0" xfId="0" applyAlignment="1">
      <alignment horizontal="left"/>
    </xf>
    <xf numFmtId="0" fontId="18" fillId="16" borderId="0" xfId="0" applyFont="1" applyFill="1" applyAlignment="1">
      <alignment vertical="center"/>
    </xf>
    <xf numFmtId="0" fontId="11" fillId="4" borderId="16" xfId="3" applyFont="1" applyFill="1" applyBorder="1" applyAlignment="1">
      <alignment horizontal="center" vertical="center" wrapText="1"/>
    </xf>
    <xf numFmtId="0" fontId="12" fillId="13" borderId="11" xfId="3" applyFont="1" applyFill="1" applyBorder="1" applyAlignment="1">
      <alignment horizontal="center" vertical="center" wrapText="1"/>
    </xf>
    <xf numFmtId="0" fontId="11" fillId="4" borderId="20" xfId="3" applyFont="1" applyFill="1" applyBorder="1" applyAlignment="1">
      <alignment horizontal="center" vertical="center" wrapText="1"/>
    </xf>
    <xf numFmtId="0" fontId="3" fillId="13" borderId="10" xfId="3" applyFill="1" applyBorder="1"/>
    <xf numFmtId="0" fontId="3" fillId="14" borderId="18" xfId="3" applyFill="1" applyBorder="1"/>
    <xf numFmtId="0" fontId="3" fillId="13" borderId="9" xfId="3" applyFill="1" applyBorder="1"/>
    <xf numFmtId="0" fontId="3" fillId="14" borderId="10" xfId="3" applyFill="1" applyBorder="1"/>
    <xf numFmtId="0" fontId="3" fillId="14" borderId="17" xfId="3" applyFill="1" applyBorder="1"/>
    <xf numFmtId="0" fontId="3" fillId="13" borderId="17" xfId="3" applyFill="1" applyBorder="1"/>
    <xf numFmtId="0" fontId="3" fillId="13" borderId="18" xfId="3" applyFill="1" applyBorder="1"/>
    <xf numFmtId="0" fontId="0" fillId="0" borderId="17" xfId="0" applyBorder="1"/>
    <xf numFmtId="0" fontId="16" fillId="15" borderId="21" xfId="3" applyFont="1" applyFill="1" applyBorder="1" applyAlignment="1">
      <alignment horizontal="center" vertical="center" wrapText="1"/>
    </xf>
    <xf numFmtId="0" fontId="16" fillId="15" borderId="22" xfId="3" applyFont="1" applyFill="1" applyBorder="1" applyAlignment="1">
      <alignment horizontal="center" vertical="center" wrapText="1"/>
    </xf>
    <xf numFmtId="0" fontId="12" fillId="17" borderId="10" xfId="3" applyFont="1" applyFill="1" applyBorder="1" applyAlignment="1">
      <alignment horizontal="left" vertical="center" wrapText="1"/>
    </xf>
    <xf numFmtId="0" fontId="12" fillId="17" borderId="17" xfId="3" applyFont="1" applyFill="1" applyBorder="1" applyAlignment="1">
      <alignment horizontal="left" vertical="center" wrapText="1"/>
    </xf>
    <xf numFmtId="0" fontId="12" fillId="13" borderId="1" xfId="3" applyFont="1" applyFill="1" applyBorder="1" applyAlignment="1">
      <alignment horizontal="center" vertical="center" wrapText="1"/>
    </xf>
    <xf numFmtId="164" fontId="12" fillId="14" borderId="14" xfId="1" applyFont="1" applyFill="1" applyBorder="1" applyAlignment="1">
      <alignment horizontal="right" vertical="center"/>
    </xf>
    <xf numFmtId="164" fontId="12" fillId="14" borderId="1" xfId="1" applyFont="1" applyFill="1" applyBorder="1" applyAlignment="1">
      <alignment horizontal="right" vertical="center"/>
    </xf>
    <xf numFmtId="49" fontId="3" fillId="14" borderId="1" xfId="3" applyNumberFormat="1" applyFill="1" applyBorder="1"/>
    <xf numFmtId="0" fontId="16" fillId="15" borderId="1" xfId="3" applyFont="1" applyFill="1" applyBorder="1" applyAlignment="1">
      <alignment horizontal="center" vertical="center" wrapText="1"/>
    </xf>
    <xf numFmtId="164" fontId="15" fillId="17" borderId="13" xfId="1" applyFont="1" applyFill="1" applyBorder="1"/>
    <xf numFmtId="164" fontId="15" fillId="18" borderId="13" xfId="1" applyFont="1" applyFill="1" applyBorder="1"/>
    <xf numFmtId="0" fontId="17" fillId="4" borderId="23" xfId="3" applyFont="1" applyFill="1" applyBorder="1" applyAlignment="1">
      <alignment horizontal="center" vertical="center"/>
    </xf>
    <xf numFmtId="0" fontId="17" fillId="4" borderId="23" xfId="3" applyFont="1" applyFill="1" applyBorder="1" applyAlignment="1">
      <alignment horizontal="right" vertical="center"/>
    </xf>
    <xf numFmtId="3" fontId="0" fillId="4" borderId="23" xfId="3" applyNumberFormat="1" applyFont="1" applyFill="1" applyBorder="1" applyAlignment="1">
      <alignment horizontal="right" vertical="center"/>
    </xf>
    <xf numFmtId="0" fontId="11" fillId="4" borderId="7" xfId="3" applyFont="1" applyFill="1" applyBorder="1" applyAlignment="1">
      <alignment horizontal="center" vertical="center" wrapText="1"/>
    </xf>
    <xf numFmtId="44" fontId="11" fillId="4" borderId="6" xfId="3" applyNumberFormat="1" applyFont="1" applyFill="1" applyBorder="1" applyAlignment="1">
      <alignment horizontal="center" vertical="center" wrapText="1"/>
    </xf>
    <xf numFmtId="49" fontId="3" fillId="14" borderId="17" xfId="3" applyNumberFormat="1" applyFill="1" applyBorder="1"/>
    <xf numFmtId="0" fontId="12" fillId="18" borderId="1" xfId="3" applyFont="1" applyFill="1" applyBorder="1" applyAlignment="1">
      <alignment horizontal="left" vertical="center" wrapText="1"/>
    </xf>
    <xf numFmtId="43" fontId="8" fillId="6" borderId="1" xfId="3" applyNumberFormat="1" applyFont="1" applyFill="1" applyBorder="1" applyAlignment="1">
      <alignment horizontal="center" vertical="center" wrapText="1"/>
    </xf>
    <xf numFmtId="0" fontId="19" fillId="19" borderId="1" xfId="4" applyBorder="1" applyAlignment="1">
      <alignment horizontal="left" vertical="center" wrapText="1"/>
    </xf>
    <xf numFmtId="0" fontId="19" fillId="19" borderId="0" xfId="4" applyAlignment="1">
      <alignment horizontal="left" vertical="center" wrapText="1"/>
    </xf>
    <xf numFmtId="0" fontId="14" fillId="13" borderId="18" xfId="3" applyFont="1" applyFill="1" applyBorder="1" applyAlignment="1">
      <alignment horizontal="center" vertical="center" wrapText="1"/>
    </xf>
    <xf numFmtId="0" fontId="14" fillId="13" borderId="1" xfId="3" applyFont="1" applyFill="1" applyBorder="1" applyAlignment="1">
      <alignment horizontal="center" vertical="center" wrapText="1"/>
    </xf>
    <xf numFmtId="14" fontId="16" fillId="15" borderId="1" xfId="3" applyNumberFormat="1" applyFont="1" applyFill="1" applyBorder="1" applyAlignment="1">
      <alignment horizontal="center" vertical="center" wrapText="1"/>
    </xf>
    <xf numFmtId="0" fontId="19" fillId="20" borderId="17" xfId="4" applyFill="1" applyBorder="1" applyAlignment="1">
      <alignment horizontal="left" vertical="center" wrapText="1"/>
    </xf>
    <xf numFmtId="165" fontId="3" fillId="13" borderId="12" xfId="3" applyNumberFormat="1" applyFill="1" applyBorder="1"/>
    <xf numFmtId="0" fontId="21" fillId="10" borderId="1" xfId="3" applyFont="1" applyFill="1" applyBorder="1" applyAlignment="1">
      <alignment horizontal="center" vertical="center"/>
    </xf>
    <xf numFmtId="0" fontId="0" fillId="21" borderId="0" xfId="0" applyFill="1"/>
    <xf numFmtId="0" fontId="12" fillId="13" borderId="0" xfId="3" applyFont="1" applyFill="1" applyAlignment="1">
      <alignment horizontal="center" vertical="center" wrapText="1"/>
    </xf>
    <xf numFmtId="0" fontId="12" fillId="18" borderId="0" xfId="3" applyFont="1" applyFill="1" applyAlignment="1">
      <alignment horizontal="left" vertical="center" wrapText="1"/>
    </xf>
    <xf numFmtId="164" fontId="12" fillId="14" borderId="0" xfId="1" applyFont="1" applyFill="1" applyBorder="1" applyAlignment="1">
      <alignment horizontal="right" vertical="center"/>
    </xf>
    <xf numFmtId="164" fontId="12" fillId="13" borderId="0" xfId="1" applyFont="1" applyFill="1" applyBorder="1" applyAlignment="1">
      <alignment horizontal="right" vertical="center"/>
    </xf>
    <xf numFmtId="164" fontId="12" fillId="13" borderId="0" xfId="1" applyFont="1" applyFill="1" applyBorder="1" applyAlignment="1">
      <alignment horizontal="center" vertical="center"/>
    </xf>
    <xf numFmtId="0" fontId="16" fillId="15" borderId="0" xfId="3" applyFont="1" applyFill="1" applyAlignment="1">
      <alignment horizontal="center" vertical="center" wrapText="1"/>
    </xf>
    <xf numFmtId="0" fontId="12" fillId="13" borderId="24" xfId="3" applyFont="1" applyFill="1" applyBorder="1" applyAlignment="1">
      <alignment horizontal="center" vertical="center" wrapText="1"/>
    </xf>
    <xf numFmtId="0" fontId="11" fillId="4" borderId="24" xfId="3" applyFont="1" applyFill="1" applyBorder="1" applyAlignment="1">
      <alignment horizontal="center" vertical="center" wrapText="1"/>
    </xf>
    <xf numFmtId="0" fontId="14" fillId="13" borderId="24" xfId="3" applyFont="1" applyFill="1" applyBorder="1" applyAlignment="1">
      <alignment horizontal="center" vertical="center" wrapText="1"/>
    </xf>
    <xf numFmtId="16" fontId="12" fillId="13" borderId="24" xfId="3" applyNumberFormat="1" applyFont="1" applyFill="1" applyBorder="1" applyAlignment="1">
      <alignment horizontal="center" vertical="center" wrapText="1"/>
    </xf>
    <xf numFmtId="0" fontId="22" fillId="13" borderId="24" xfId="3" applyFont="1" applyFill="1" applyBorder="1" applyAlignment="1">
      <alignment horizontal="center" vertical="center" wrapText="1"/>
    </xf>
    <xf numFmtId="44" fontId="8" fillId="7" borderId="1" xfId="3" applyNumberFormat="1" applyFont="1" applyFill="1" applyBorder="1" applyAlignment="1">
      <alignment horizontal="center" vertical="center" wrapText="1"/>
    </xf>
    <xf numFmtId="44" fontId="8" fillId="8" borderId="1" xfId="3" applyNumberFormat="1" applyFont="1" applyFill="1" applyBorder="1" applyAlignment="1">
      <alignment horizontal="center" vertical="center" wrapText="1"/>
    </xf>
    <xf numFmtId="44" fontId="8" fillId="11" borderId="1" xfId="0" applyNumberFormat="1" applyFont="1" applyFill="1" applyBorder="1" applyAlignment="1">
      <alignment horizontal="center" vertical="center"/>
    </xf>
    <xf numFmtId="0" fontId="20" fillId="2" borderId="0" xfId="3" applyFont="1" applyFill="1" applyAlignment="1">
      <alignment horizontal="center" vertical="center" wrapText="1"/>
    </xf>
    <xf numFmtId="0" fontId="5" fillId="3" borderId="0" xfId="3" applyFont="1" applyFill="1" applyAlignment="1">
      <alignment horizontal="center" vertical="center" wrapText="1"/>
    </xf>
    <xf numFmtId="0" fontId="7" fillId="7" borderId="1" xfId="3" applyFont="1" applyFill="1" applyBorder="1" applyAlignment="1">
      <alignment horizontal="center" vertical="center" wrapText="1"/>
    </xf>
    <xf numFmtId="0" fontId="7" fillId="8" borderId="1" xfId="3" applyFont="1" applyFill="1" applyBorder="1" applyAlignment="1">
      <alignment horizontal="center" vertical="center" wrapText="1"/>
    </xf>
    <xf numFmtId="0" fontId="7" fillId="9" borderId="1" xfId="3" applyFont="1" applyFill="1" applyBorder="1" applyAlignment="1">
      <alignment horizontal="center" vertical="center" wrapText="1"/>
    </xf>
    <xf numFmtId="0" fontId="4" fillId="2" borderId="0" xfId="3" applyFont="1" applyFill="1" applyAlignment="1">
      <alignment horizontal="center" vertical="center" wrapText="1"/>
    </xf>
  </cellXfs>
  <cellStyles count="5">
    <cellStyle name="Currency" xfId="1" builtinId="4"/>
    <cellStyle name="Good" xfId="4" builtinId="26"/>
    <cellStyle name="Hyperlink" xfId="2" builtinId="8"/>
    <cellStyle name="Normal" xfId="0" builtinId="0"/>
    <cellStyle name="Normal 2" xfId="3" xr:uid="{35385A4B-A10E-4F5A-94C4-6CBD8ABF10AA}"/>
  </cellStyles>
  <dxfs count="10">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30" formatCode="@"/>
      <fill>
        <patternFill patternType="solid">
          <fgColor rgb="FFF0F8FF"/>
          <bgColor rgb="FFFFFFFF"/>
        </patternFill>
      </fill>
      <border diagonalUp="0" diagonalDown="0">
        <left style="thin">
          <color theme="3"/>
        </left>
        <right style="thin">
          <color theme="3"/>
        </right>
        <top style="thin">
          <color indexed="64"/>
        </top>
        <bottom style="thin">
          <color indexed="64"/>
        </bottom>
        <vertical/>
        <horizontal/>
      </border>
    </dxf>
    <dxf>
      <border outline="0">
        <left style="thin">
          <color theme="3"/>
        </left>
        <right style="thin">
          <color theme="3"/>
        </right>
        <bottom style="thin">
          <color theme="3"/>
        </bottom>
      </border>
    </dxf>
    <dxf>
      <numFmt numFmtId="30" formatCode="@"/>
      <fill>
        <patternFill patternType="solid">
          <fgColor rgb="FFF0F8FF"/>
          <bgColor rgb="FFFFFFFF"/>
        </patternFill>
      </fill>
      <border diagonalUp="0" diagonalDown="0">
        <left style="thin">
          <color theme="3"/>
        </left>
        <right style="thin">
          <color theme="3"/>
        </right>
        <top style="thin">
          <color indexed="64"/>
        </top>
        <bottom style="thin">
          <color indexed="64"/>
        </bottom>
        <vertical/>
        <horizontal/>
      </border>
    </dxf>
    <dxf>
      <border outline="0">
        <left style="thin">
          <color theme="3"/>
        </left>
        <right style="thin">
          <color theme="3"/>
        </right>
        <bottom style="thin">
          <color theme="3"/>
        </bottom>
      </border>
    </dxf>
  </dxfs>
  <tableStyles count="0" defaultTableStyle="TableStyleMedium2" defaultPivotStyle="PivotStyleMedium9"/>
  <colors>
    <mruColors>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9</xdr:col>
      <xdr:colOff>1152773</xdr:colOff>
      <xdr:row>74</xdr:row>
      <xdr:rowOff>178346</xdr:rowOff>
    </xdr:from>
    <xdr:to>
      <xdr:col>12</xdr:col>
      <xdr:colOff>130802</xdr:colOff>
      <xdr:row>80</xdr:row>
      <xdr:rowOff>189278</xdr:rowOff>
    </xdr:to>
    <mc:AlternateContent xmlns:mc="http://schemas.openxmlformats.org/markup-compatibility/2006" xmlns:sle15="http://schemas.microsoft.com/office/drawing/2012/slicer">
      <mc:Choice Requires="sle15">
        <xdr:graphicFrame macro="">
          <xdr:nvGraphicFramePr>
            <xdr:cNvPr id="3" name="Status">
              <a:extLst>
                <a:ext uri="{FF2B5EF4-FFF2-40B4-BE49-F238E27FC236}">
                  <a16:creationId xmlns:a16="http://schemas.microsoft.com/office/drawing/2014/main" id="{07F964A1-11E6-A8F3-8C84-3A18DE4C220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598854" y="9906000"/>
              <a:ext cx="2151290" cy="1510393"/>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56038</xdr:colOff>
      <xdr:row>36</xdr:row>
      <xdr:rowOff>18927</xdr:rowOff>
    </xdr:from>
    <xdr:to>
      <xdr:col>12</xdr:col>
      <xdr:colOff>639504</xdr:colOff>
      <xdr:row>47</xdr:row>
      <xdr:rowOff>1</xdr:rowOff>
    </xdr:to>
    <mc:AlternateContent xmlns:mc="http://schemas.openxmlformats.org/markup-compatibility/2006" xmlns:sle15="http://schemas.microsoft.com/office/drawing/2012/slicer">
      <mc:Choice Requires="sle15">
        <xdr:graphicFrame macro="">
          <xdr:nvGraphicFramePr>
            <xdr:cNvPr id="2" name="Status 1">
              <a:extLst>
                <a:ext uri="{FF2B5EF4-FFF2-40B4-BE49-F238E27FC236}">
                  <a16:creationId xmlns:a16="http://schemas.microsoft.com/office/drawing/2014/main" id="{F8D7474F-7285-41A4-9606-6345B8D5142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0642395" y="6563963"/>
              <a:ext cx="1812843" cy="162753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E59909B-5AED-4B57-B19B-AA3ECB40F27D}" sourceName="Status">
  <extLst>
    <x:ext xmlns:x15="http://schemas.microsoft.com/office/spreadsheetml/2010/11/main" uri="{2F2917AC-EB37-4324-AD4E-5DD8C200BD13}">
      <x15:tableSlicerCache tableId="1"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7542D0C5-44A8-4BCF-9A6F-8A3C911E205B}" sourceName="Status">
  <extLst>
    <x:ext xmlns:x15="http://schemas.microsoft.com/office/spreadsheetml/2010/11/main" uri="{2F2917AC-EB37-4324-AD4E-5DD8C200BD13}">
      <x15:tableSlicerCache tableId="2"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A31256E-38AE-475B-ACF9-3656C4960DF9}" cache="Slicer_Status"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33FB4832-B69C-409C-B062-6AD71CE88544}" cache="Slicer_Status1"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F71683-2385-452F-B505-E20278B2775C}" name="Table1" displayName="Table1" ref="A7:J47" totalsRowShown="0" tableBorderDxfId="7">
  <autoFilter ref="A7:J47" xr:uid="{DAF71683-2385-452F-B505-E20278B2775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s>
        <filter val="Partial Paid"/>
      </filters>
    </filterColumn>
    <filterColumn colId="8" hiddenButton="1"/>
    <filterColumn colId="9" hiddenButton="1"/>
  </autoFilter>
  <tableColumns count="10">
    <tableColumn id="1" xr3:uid="{4D437CF4-3D6B-4C92-8E75-A12F3A995780}" name="S.No"/>
    <tableColumn id="2" xr3:uid="{71C4C543-42B6-4B02-B5ED-0C0F4E1CC0FE}" name="Student Name"/>
    <tableColumn id="3" xr3:uid="{57FF6C2D-9B7E-45FF-9C88-5B153CDFDFCC}" name="Father's Name"/>
    <tableColumn id="4" xr3:uid="{2F15A149-AE0C-4F54-AEFC-14D23A53865F}" name="Subject"/>
    <tableColumn id="5" xr3:uid="{66794C73-9531-4ADD-81C3-C0D87BAD4A19}" name="Total Fee"/>
    <tableColumn id="6" xr3:uid="{92BDFCCB-6B7D-4A16-BD27-C767316D6FA9}" name="Paid"/>
    <tableColumn id="7" xr3:uid="{9DBA2996-7059-48CD-B3AC-951B9069E887}" name="Balance">
      <calculatedColumnFormula>E8-F8</calculatedColumnFormula>
    </tableColumn>
    <tableColumn id="8" xr3:uid="{687DF337-05DF-464A-B205-BCD0256FC8C1}" name="Status"/>
    <tableColumn id="9" xr3:uid="{530E3786-B4EE-45CB-8549-5A6E3291B188}" name="Contact" dataDxfId="6" dataCellStyle="Normal 2"/>
    <tableColumn id="10" xr3:uid="{0A704207-074F-4E9D-A000-D2EDD13B42BF}" name="Next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0DB6A5-48A6-450E-9AD8-DA79BC9D7A75}" name="Table13" displayName="Table13" ref="A7:J47" totalsRowShown="0" tableBorderDxfId="9">
  <autoFilter ref="A7:J47" xr:uid="{380DB6A5-48A6-450E-9AD8-DA79BC9D7A75}"/>
  <tableColumns count="10">
    <tableColumn id="1" xr3:uid="{9AC119AA-BB2B-41AB-862D-B4617838B50D}" name="S.No"/>
    <tableColumn id="2" xr3:uid="{9F9283F4-C5B1-406C-835B-741B2C5C8091}" name="Student Name"/>
    <tableColumn id="3" xr3:uid="{ED50EA36-F522-499E-B409-C08357320506}" name="Father's Name"/>
    <tableColumn id="4" xr3:uid="{B3355B25-5E3F-4308-B95E-9A0D632280BA}" name="Subject"/>
    <tableColumn id="5" xr3:uid="{4182881C-876C-4B9A-95D4-72DCEB090813}" name="Total Fee"/>
    <tableColumn id="6" xr3:uid="{CF681E30-A385-4816-8261-1AC67FA51EFB}" name="Paid"/>
    <tableColumn id="7" xr3:uid="{7DD0305E-019B-419D-BEFE-64746F5EE7D0}" name="Balance">
      <calculatedColumnFormula>E8-F8</calculatedColumnFormula>
    </tableColumn>
    <tableColumn id="8" xr3:uid="{45E0F040-C932-483B-B8AC-217076BA9D03}" name="Status"/>
    <tableColumn id="9" xr3:uid="{CF68F8F6-970A-487B-AB08-631AA25B5C61}" name="Contact" dataDxfId="8" dataCellStyle="Normal 2"/>
    <tableColumn id="10" xr3:uid="{261150F5-73BD-4E6C-9B25-E061EB24C033}" name="Next Dat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5A4E2A-09A6-4A54-A39C-527303762185}">
  <we:reference id="wa200005502" version="1.0.0.13" store="en-US" storeType="OMEX"/>
  <we:alternateReferences>
    <we:reference id="WA200005502" version="1.0.0.13" store="" storeType="OMEX"/>
  </we:alternateReferences>
  <we:properties>
    <we:property name="docId" value="&quot;K4Glu1cm5Nx_V9ZCuxL4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ownloads/ENG_Bakaya_New.xlsx" TargetMode="Externa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
  <sheetViews>
    <sheetView tabSelected="1" topLeftCell="B1" zoomScale="55" zoomScaleNormal="55" workbookViewId="0">
      <selection activeCell="F45" sqref="F45"/>
    </sheetView>
  </sheetViews>
  <sheetFormatPr defaultColWidth="23.85546875" defaultRowHeight="18.75" customHeight="1" x14ac:dyDescent="0.25"/>
  <cols>
    <col min="1" max="1" width="26.42578125" customWidth="1"/>
    <col min="2" max="2" width="31.42578125" customWidth="1"/>
    <col min="3" max="3" width="23.5703125" customWidth="1"/>
    <col min="4" max="4" width="9.5703125" bestFit="1" customWidth="1"/>
    <col min="5" max="5" width="16.85546875" customWidth="1"/>
    <col min="6" max="6" width="17.42578125" customWidth="1"/>
    <col min="7" max="7" width="18.28515625" bestFit="1" customWidth="1"/>
    <col min="8" max="8" width="15.140625" customWidth="1"/>
    <col min="9" max="9" width="13" customWidth="1"/>
    <col min="10" max="10" width="22.85546875" customWidth="1"/>
    <col min="11" max="11" width="6" bestFit="1" customWidth="1"/>
    <col min="12" max="12" width="18.42578125" bestFit="1" customWidth="1"/>
    <col min="13" max="13" width="18.7109375" customWidth="1"/>
    <col min="14" max="14" width="19.85546875" customWidth="1"/>
    <col min="15" max="15" width="5" bestFit="1" customWidth="1"/>
    <col min="16" max="16" width="6" bestFit="1" customWidth="1"/>
    <col min="17" max="17" width="5" bestFit="1" customWidth="1"/>
    <col min="18" max="18" width="7.28515625" bestFit="1" customWidth="1"/>
    <col min="19" max="19" width="20.7109375" bestFit="1" customWidth="1"/>
  </cols>
  <sheetData>
    <row r="1" spans="1:28" ht="109.5" customHeight="1" x14ac:dyDescent="0.25">
      <c r="A1" s="103" t="s">
        <v>0</v>
      </c>
      <c r="B1" s="103"/>
      <c r="C1" s="103"/>
      <c r="D1" s="103"/>
      <c r="E1" s="103"/>
      <c r="F1" s="103"/>
      <c r="G1" s="103"/>
      <c r="H1" s="103"/>
      <c r="I1" s="103"/>
      <c r="J1" s="103"/>
      <c r="K1" s="103"/>
      <c r="L1" s="103"/>
      <c r="M1" s="103"/>
      <c r="AB1" s="1"/>
    </row>
    <row r="2" spans="1:28" ht="18.75" customHeight="1" x14ac:dyDescent="0.25">
      <c r="A2" s="104" t="s">
        <v>1</v>
      </c>
      <c r="B2" s="104"/>
      <c r="C2" s="104"/>
      <c r="D2" s="104"/>
      <c r="E2" s="104"/>
      <c r="F2" s="104"/>
      <c r="G2" s="104"/>
      <c r="H2" s="104"/>
      <c r="I2" s="104"/>
      <c r="J2" s="104"/>
      <c r="K2" s="104"/>
      <c r="L2" s="104"/>
      <c r="M2" s="104"/>
      <c r="AB2" s="1"/>
    </row>
    <row r="3" spans="1:28" ht="18.75" customHeight="1" x14ac:dyDescent="0.25">
      <c r="A3" s="2"/>
      <c r="B3" s="2"/>
      <c r="C3" s="2"/>
      <c r="D3" s="2"/>
      <c r="E3" s="2"/>
      <c r="F3" s="2"/>
      <c r="G3" s="2"/>
      <c r="H3" s="2"/>
      <c r="I3" s="2"/>
      <c r="J3" s="2"/>
      <c r="L3" s="3"/>
    </row>
    <row r="4" spans="1:28" ht="18.75" customHeight="1" x14ac:dyDescent="0.25">
      <c r="A4" s="4" t="s">
        <v>3</v>
      </c>
      <c r="B4" s="5" t="s">
        <v>4</v>
      </c>
      <c r="C4" s="6" t="s">
        <v>5</v>
      </c>
      <c r="D4" s="105" t="s">
        <v>6</v>
      </c>
      <c r="E4" s="105"/>
      <c r="F4" s="106" t="s">
        <v>7</v>
      </c>
      <c r="G4" s="106"/>
      <c r="H4" s="107" t="s">
        <v>8</v>
      </c>
      <c r="I4" s="107"/>
      <c r="J4" s="87" t="s">
        <v>9</v>
      </c>
      <c r="L4" s="108" t="s">
        <v>10</v>
      </c>
      <c r="M4" s="108"/>
    </row>
    <row r="5" spans="1:28" ht="18.75" customHeight="1" x14ac:dyDescent="0.25">
      <c r="A5" s="7">
        <f>SUBTOTAL(9,E8:E46)</f>
        <v>18000</v>
      </c>
      <c r="B5" s="8">
        <f>SUBTOTAL(9,F8:F46)</f>
        <v>9000</v>
      </c>
      <c r="C5" s="79">
        <f>A5-B5</f>
        <v>9000</v>
      </c>
      <c r="D5" s="100">
        <f>B5/100*70</f>
        <v>6300</v>
      </c>
      <c r="E5" s="100"/>
      <c r="F5" s="101">
        <f>B5/100*30</f>
        <v>2700</v>
      </c>
      <c r="G5" s="101"/>
      <c r="H5" s="102">
        <f>M35</f>
        <v>177100</v>
      </c>
      <c r="I5" s="102"/>
      <c r="J5" s="9">
        <f>D5-H5</f>
        <v>-170800</v>
      </c>
      <c r="L5" s="108"/>
      <c r="M5" s="108"/>
    </row>
    <row r="6" spans="1:28" ht="18.75" customHeight="1" x14ac:dyDescent="0.25">
      <c r="A6" s="10"/>
      <c r="B6" s="10" t="s">
        <v>11</v>
      </c>
      <c r="C6" s="10"/>
      <c r="D6" s="10"/>
      <c r="E6" s="10"/>
      <c r="F6" s="10"/>
      <c r="G6" s="10"/>
      <c r="H6" s="10"/>
      <c r="I6" s="10"/>
      <c r="J6" s="10"/>
    </row>
    <row r="7" spans="1:28" ht="33.75" customHeight="1" x14ac:dyDescent="0.25">
      <c r="A7" s="50" t="s">
        <v>110</v>
      </c>
      <c r="B7" s="11" t="s">
        <v>12</v>
      </c>
      <c r="C7" s="12" t="s">
        <v>13</v>
      </c>
      <c r="D7" s="13" t="s">
        <v>14</v>
      </c>
      <c r="E7" s="13" t="s">
        <v>15</v>
      </c>
      <c r="F7" s="13" t="s">
        <v>16</v>
      </c>
      <c r="G7" s="14" t="s">
        <v>17</v>
      </c>
      <c r="H7" s="15" t="s">
        <v>18</v>
      </c>
      <c r="I7" s="15" t="s">
        <v>19</v>
      </c>
      <c r="J7" s="52" t="s">
        <v>20</v>
      </c>
      <c r="L7" s="15" t="s">
        <v>21</v>
      </c>
      <c r="M7" s="75" t="s">
        <v>22</v>
      </c>
    </row>
    <row r="8" spans="1:28" ht="18.75" hidden="1" customHeight="1" x14ac:dyDescent="0.25">
      <c r="A8" s="51">
        <v>1</v>
      </c>
      <c r="B8" t="s">
        <v>23</v>
      </c>
      <c r="C8" t="s">
        <v>24</v>
      </c>
      <c r="D8" s="16" t="s">
        <v>25</v>
      </c>
      <c r="E8" s="17">
        <v>8000</v>
      </c>
      <c r="F8" s="18">
        <v>8000</v>
      </c>
      <c r="G8" s="19">
        <f>E8-F8</f>
        <v>0</v>
      </c>
      <c r="H8" s="20" t="str">
        <f>IF(F8&lt;1, "Unpaid", IF(F8&lt;E8, "Partial Paid", "Paid"))</f>
        <v>Paid</v>
      </c>
      <c r="I8" s="21" t="s">
        <v>26</v>
      </c>
      <c r="J8" s="53"/>
      <c r="L8" s="86">
        <v>46152</v>
      </c>
      <c r="M8" s="22">
        <v>3000</v>
      </c>
    </row>
    <row r="9" spans="1:28" ht="18.75" hidden="1" customHeight="1" x14ac:dyDescent="0.25">
      <c r="A9" s="51">
        <v>2</v>
      </c>
      <c r="B9" t="s">
        <v>27</v>
      </c>
      <c r="C9" t="s">
        <v>28</v>
      </c>
      <c r="D9" s="23" t="s">
        <v>25</v>
      </c>
      <c r="E9" s="17">
        <v>8000</v>
      </c>
      <c r="F9" s="18">
        <v>8000</v>
      </c>
      <c r="G9" s="19">
        <f t="shared" ref="G9:G45" si="0">E9-F9</f>
        <v>0</v>
      </c>
      <c r="H9" s="24" t="str">
        <f t="shared" ref="H9:H46" si="1">IF(F9&lt;1, "Unpaid", IF(F9&lt;E9, "Partial Paid", "Paid"))</f>
        <v>Paid</v>
      </c>
      <c r="I9" s="25" t="s">
        <v>29</v>
      </c>
      <c r="J9" s="54"/>
      <c r="L9" s="86">
        <v>46147</v>
      </c>
      <c r="M9" s="26">
        <v>6000</v>
      </c>
    </row>
    <row r="10" spans="1:28" ht="18.75" hidden="1" customHeight="1" x14ac:dyDescent="0.25">
      <c r="A10" s="51">
        <v>3</v>
      </c>
      <c r="B10" t="s">
        <v>30</v>
      </c>
      <c r="C10" t="s">
        <v>31</v>
      </c>
      <c r="D10" s="27" t="s">
        <v>25</v>
      </c>
      <c r="E10" s="17">
        <v>8000</v>
      </c>
      <c r="F10" s="18">
        <v>8000</v>
      </c>
      <c r="G10" s="19">
        <f t="shared" si="0"/>
        <v>0</v>
      </c>
      <c r="H10" s="28" t="str">
        <f t="shared" si="1"/>
        <v>Paid</v>
      </c>
      <c r="I10" s="29" t="s">
        <v>32</v>
      </c>
      <c r="J10" s="55"/>
      <c r="L10" s="86">
        <v>46146</v>
      </c>
      <c r="M10" s="22">
        <v>10000</v>
      </c>
    </row>
    <row r="11" spans="1:28" ht="18.75" customHeight="1" x14ac:dyDescent="0.25">
      <c r="A11" s="51">
        <v>4</v>
      </c>
      <c r="B11" s="63" t="s">
        <v>33</v>
      </c>
      <c r="C11" t="s">
        <v>34</v>
      </c>
      <c r="D11" s="30" t="s">
        <v>25</v>
      </c>
      <c r="E11" s="17">
        <v>7000</v>
      </c>
      <c r="F11" s="18">
        <v>3500</v>
      </c>
      <c r="G11" s="19">
        <f t="shared" si="0"/>
        <v>3500</v>
      </c>
      <c r="H11" s="20" t="str">
        <f t="shared" si="1"/>
        <v>Partial Paid</v>
      </c>
      <c r="I11" s="31" t="s">
        <v>35</v>
      </c>
      <c r="J11" s="56"/>
      <c r="L11" s="86">
        <v>46130</v>
      </c>
      <c r="M11" s="70">
        <v>2000</v>
      </c>
    </row>
    <row r="12" spans="1:28" ht="18.75" hidden="1" customHeight="1" x14ac:dyDescent="0.25">
      <c r="A12" s="51">
        <v>5</v>
      </c>
      <c r="B12" t="s">
        <v>36</v>
      </c>
      <c r="C12" t="s">
        <v>37</v>
      </c>
      <c r="D12" s="33" t="s">
        <v>25</v>
      </c>
      <c r="E12" s="17">
        <v>6500</v>
      </c>
      <c r="F12" s="18">
        <v>6500</v>
      </c>
      <c r="G12" s="19">
        <f t="shared" si="0"/>
        <v>0</v>
      </c>
      <c r="H12" s="34" t="str">
        <f t="shared" si="1"/>
        <v>Paid</v>
      </c>
      <c r="I12" s="35" t="s">
        <v>38</v>
      </c>
      <c r="J12" s="57"/>
      <c r="L12" s="86">
        <v>46129</v>
      </c>
      <c r="M12" s="71">
        <v>2000</v>
      </c>
    </row>
    <row r="13" spans="1:28" ht="18.75" hidden="1" customHeight="1" x14ac:dyDescent="0.25">
      <c r="A13" s="51">
        <v>6</v>
      </c>
      <c r="B13" t="s">
        <v>39</v>
      </c>
      <c r="C13" t="s">
        <v>40</v>
      </c>
      <c r="D13" s="36" t="s">
        <v>25</v>
      </c>
      <c r="E13" s="17">
        <v>6000</v>
      </c>
      <c r="F13" s="18">
        <v>6000</v>
      </c>
      <c r="G13" s="19">
        <f t="shared" si="0"/>
        <v>0</v>
      </c>
      <c r="H13" s="34" t="str">
        <f t="shared" si="1"/>
        <v>Paid</v>
      </c>
      <c r="I13" s="35" t="s">
        <v>41</v>
      </c>
      <c r="J13" s="58"/>
      <c r="L13" s="86">
        <v>46165</v>
      </c>
      <c r="M13" s="26">
        <v>3000</v>
      </c>
    </row>
    <row r="14" spans="1:28" ht="18.75" hidden="1" customHeight="1" x14ac:dyDescent="0.25">
      <c r="A14" s="51">
        <v>7</v>
      </c>
      <c r="B14" t="s">
        <v>42</v>
      </c>
      <c r="C14" t="s">
        <v>43</v>
      </c>
      <c r="D14" s="33" t="s">
        <v>25</v>
      </c>
      <c r="E14" s="17">
        <v>7000</v>
      </c>
      <c r="F14" s="18">
        <v>7000</v>
      </c>
      <c r="G14" s="19">
        <f t="shared" si="0"/>
        <v>0</v>
      </c>
      <c r="H14" s="34" t="str">
        <f t="shared" si="1"/>
        <v>Paid</v>
      </c>
      <c r="I14" s="35" t="s">
        <v>44</v>
      </c>
      <c r="J14" s="57"/>
      <c r="L14" s="86">
        <v>46175</v>
      </c>
      <c r="M14" s="26">
        <v>20000</v>
      </c>
    </row>
    <row r="15" spans="1:28" ht="18.75" hidden="1" customHeight="1" x14ac:dyDescent="0.25">
      <c r="A15" s="51">
        <v>8</v>
      </c>
      <c r="B15" t="s">
        <v>45</v>
      </c>
      <c r="C15" t="s">
        <v>46</v>
      </c>
      <c r="D15" s="30" t="s">
        <v>25</v>
      </c>
      <c r="E15" s="17">
        <v>8000</v>
      </c>
      <c r="F15" s="18">
        <v>8000</v>
      </c>
      <c r="G15" s="19">
        <f t="shared" si="0"/>
        <v>0</v>
      </c>
      <c r="H15" s="20" t="str">
        <f t="shared" si="1"/>
        <v>Paid</v>
      </c>
      <c r="I15" s="35" t="s">
        <v>47</v>
      </c>
      <c r="J15" s="56"/>
      <c r="L15" s="86">
        <v>46182</v>
      </c>
      <c r="M15" s="22">
        <v>3000</v>
      </c>
    </row>
    <row r="16" spans="1:28" ht="18.75" hidden="1" customHeight="1" x14ac:dyDescent="0.25">
      <c r="A16" s="51">
        <v>9</v>
      </c>
      <c r="B16" s="64" t="s">
        <v>48</v>
      </c>
      <c r="C16" t="s">
        <v>49</v>
      </c>
      <c r="D16" s="33" t="s">
        <v>25</v>
      </c>
      <c r="E16" s="17">
        <v>6400</v>
      </c>
      <c r="F16" s="18">
        <v>6400</v>
      </c>
      <c r="G16" s="19">
        <f t="shared" si="0"/>
        <v>0</v>
      </c>
      <c r="H16" s="39" t="str">
        <f t="shared" si="1"/>
        <v>Paid</v>
      </c>
      <c r="I16" s="35" t="s">
        <v>50</v>
      </c>
      <c r="J16" s="57"/>
      <c r="L16" s="86">
        <v>46184</v>
      </c>
      <c r="M16" s="26">
        <v>4000</v>
      </c>
    </row>
    <row r="17" spans="1:13" ht="18.75" hidden="1" customHeight="1" x14ac:dyDescent="0.25">
      <c r="A17" s="51">
        <v>10</v>
      </c>
      <c r="B17" s="80" t="s">
        <v>51</v>
      </c>
      <c r="C17" t="s">
        <v>52</v>
      </c>
      <c r="D17" s="38" t="s">
        <v>25</v>
      </c>
      <c r="E17" s="17">
        <v>7500</v>
      </c>
      <c r="F17" s="18">
        <v>7500</v>
      </c>
      <c r="G17" s="19">
        <f t="shared" si="0"/>
        <v>0</v>
      </c>
      <c r="H17" s="40" t="str">
        <f t="shared" si="1"/>
        <v>Paid</v>
      </c>
      <c r="I17" s="35" t="s">
        <v>53</v>
      </c>
      <c r="J17" s="59"/>
      <c r="L17" s="86">
        <v>46193</v>
      </c>
      <c r="M17" s="22">
        <v>15500</v>
      </c>
    </row>
    <row r="18" spans="1:13" ht="18.75" hidden="1" customHeight="1" x14ac:dyDescent="0.25">
      <c r="A18" s="51">
        <v>12</v>
      </c>
      <c r="B18" s="85" t="s">
        <v>55</v>
      </c>
      <c r="C18" t="s">
        <v>56</v>
      </c>
      <c r="D18" s="36" t="s">
        <v>25</v>
      </c>
      <c r="E18" s="17">
        <v>7000</v>
      </c>
      <c r="F18" s="18">
        <v>7000</v>
      </c>
      <c r="G18" s="19">
        <f t="shared" si="0"/>
        <v>0</v>
      </c>
      <c r="H18" s="41" t="str">
        <f t="shared" si="1"/>
        <v>Paid</v>
      </c>
      <c r="I18" s="35" t="s">
        <v>54</v>
      </c>
      <c r="J18" s="58"/>
      <c r="L18" s="86"/>
      <c r="M18" s="22">
        <v>5000</v>
      </c>
    </row>
    <row r="19" spans="1:13" ht="18.75" hidden="1" customHeight="1" x14ac:dyDescent="0.25">
      <c r="A19" s="51">
        <v>13</v>
      </c>
      <c r="B19" s="80" t="s">
        <v>57</v>
      </c>
      <c r="C19" t="s">
        <v>58</v>
      </c>
      <c r="D19" s="33" t="s">
        <v>25</v>
      </c>
      <c r="E19" s="17">
        <v>8000</v>
      </c>
      <c r="F19" s="18">
        <v>8000</v>
      </c>
      <c r="G19" s="19">
        <f t="shared" si="0"/>
        <v>0</v>
      </c>
      <c r="H19" s="41" t="str">
        <f t="shared" si="1"/>
        <v>Paid</v>
      </c>
      <c r="I19" s="35"/>
      <c r="J19" s="57"/>
      <c r="L19" s="86">
        <v>46208</v>
      </c>
      <c r="M19" s="22">
        <v>15000</v>
      </c>
    </row>
    <row r="20" spans="1:13" ht="18.75" hidden="1" customHeight="1" x14ac:dyDescent="0.25">
      <c r="A20" s="51">
        <v>14</v>
      </c>
      <c r="B20" s="80" t="s">
        <v>59</v>
      </c>
      <c r="C20" t="s">
        <v>60</v>
      </c>
      <c r="D20" s="32" t="s">
        <v>25</v>
      </c>
      <c r="E20" s="17">
        <v>7000</v>
      </c>
      <c r="F20" s="18">
        <v>7000</v>
      </c>
      <c r="G20" s="19">
        <f t="shared" si="0"/>
        <v>0</v>
      </c>
      <c r="H20" s="41" t="str">
        <f t="shared" si="1"/>
        <v>Paid</v>
      </c>
      <c r="I20" s="35" t="s">
        <v>61</v>
      </c>
      <c r="J20" s="42"/>
      <c r="L20" s="86">
        <v>46213</v>
      </c>
      <c r="M20" s="22">
        <v>10000</v>
      </c>
    </row>
    <row r="21" spans="1:13" ht="18.75" hidden="1" customHeight="1" x14ac:dyDescent="0.25">
      <c r="A21" s="51">
        <v>15</v>
      </c>
      <c r="B21" s="80" t="s">
        <v>62</v>
      </c>
      <c r="C21" t="s">
        <v>63</v>
      </c>
      <c r="D21" s="33" t="s">
        <v>25</v>
      </c>
      <c r="E21" s="17">
        <v>7000</v>
      </c>
      <c r="F21" s="18">
        <v>7000</v>
      </c>
      <c r="G21" s="19">
        <f t="shared" si="0"/>
        <v>0</v>
      </c>
      <c r="H21" s="41" t="str">
        <f>IF(F21&lt;1, "Unpaid", IF(F21&lt;E21, "Partial Paid", "Paid"))</f>
        <v>Paid</v>
      </c>
      <c r="I21" s="35" t="s">
        <v>64</v>
      </c>
      <c r="J21" s="57"/>
      <c r="L21" s="86">
        <v>46219</v>
      </c>
      <c r="M21" s="22">
        <v>2000</v>
      </c>
    </row>
    <row r="22" spans="1:13" ht="18.75" hidden="1" customHeight="1" x14ac:dyDescent="0.25">
      <c r="A22" s="51">
        <v>16</v>
      </c>
      <c r="B22" s="85" t="s">
        <v>65</v>
      </c>
      <c r="C22" t="s">
        <v>66</v>
      </c>
      <c r="D22" s="32" t="s">
        <v>25</v>
      </c>
      <c r="E22" s="17">
        <v>7000</v>
      </c>
      <c r="F22" s="18">
        <v>7000</v>
      </c>
      <c r="G22" s="19">
        <f t="shared" si="0"/>
        <v>0</v>
      </c>
      <c r="H22" s="41" t="str">
        <f t="shared" si="1"/>
        <v>Paid</v>
      </c>
      <c r="I22" s="35" t="s">
        <v>67</v>
      </c>
      <c r="J22" s="42"/>
      <c r="L22" s="86">
        <v>46223</v>
      </c>
      <c r="M22" s="22">
        <v>15000</v>
      </c>
    </row>
    <row r="23" spans="1:13" ht="18.75" hidden="1" customHeight="1" x14ac:dyDescent="0.25">
      <c r="A23" s="51">
        <v>17</v>
      </c>
      <c r="B23" s="80" t="s">
        <v>68</v>
      </c>
      <c r="C23" t="s">
        <v>69</v>
      </c>
      <c r="D23" s="32" t="s">
        <v>25</v>
      </c>
      <c r="E23" s="44">
        <v>7500</v>
      </c>
      <c r="F23" s="18">
        <v>7500</v>
      </c>
      <c r="G23" s="19">
        <f t="shared" si="0"/>
        <v>0</v>
      </c>
      <c r="H23" s="41" t="str">
        <f t="shared" si="1"/>
        <v>Paid</v>
      </c>
      <c r="I23" s="35"/>
      <c r="J23" s="42"/>
      <c r="L23" s="86">
        <v>46224</v>
      </c>
      <c r="M23" s="22">
        <v>2000</v>
      </c>
    </row>
    <row r="24" spans="1:13" ht="18.75" hidden="1" customHeight="1" x14ac:dyDescent="0.25">
      <c r="A24" s="51">
        <v>18</v>
      </c>
      <c r="B24" s="80" t="s">
        <v>70</v>
      </c>
      <c r="C24" t="s">
        <v>71</v>
      </c>
      <c r="D24" s="33" t="s">
        <v>25</v>
      </c>
      <c r="E24" s="45">
        <v>8500</v>
      </c>
      <c r="F24" s="18">
        <v>8500</v>
      </c>
      <c r="G24" s="19" t="s">
        <v>72</v>
      </c>
      <c r="H24" s="41" t="str">
        <f t="shared" si="1"/>
        <v>Paid</v>
      </c>
      <c r="I24" s="35" t="s">
        <v>73</v>
      </c>
      <c r="J24" s="60"/>
      <c r="L24" s="86">
        <v>46237</v>
      </c>
      <c r="M24" s="22">
        <v>7000</v>
      </c>
    </row>
    <row r="25" spans="1:13" ht="18.75" hidden="1" customHeight="1" x14ac:dyDescent="0.25">
      <c r="A25" s="51">
        <v>19</v>
      </c>
      <c r="B25" s="80" t="s">
        <v>74</v>
      </c>
      <c r="C25" t="s">
        <v>75</v>
      </c>
      <c r="D25" s="32" t="s">
        <v>25</v>
      </c>
      <c r="E25" s="44">
        <v>8500</v>
      </c>
      <c r="F25" s="18">
        <v>8500</v>
      </c>
      <c r="G25" s="19">
        <f t="shared" si="0"/>
        <v>0</v>
      </c>
      <c r="H25" s="41" t="str">
        <f t="shared" si="1"/>
        <v>Paid</v>
      </c>
      <c r="I25" s="35"/>
      <c r="J25" s="42"/>
      <c r="L25" s="86">
        <v>46239</v>
      </c>
      <c r="M25" s="22">
        <v>13000</v>
      </c>
    </row>
    <row r="26" spans="1:13" ht="18.75" hidden="1" customHeight="1" x14ac:dyDescent="0.25">
      <c r="A26" s="51">
        <v>20</v>
      </c>
      <c r="B26" s="80" t="s">
        <v>76</v>
      </c>
      <c r="C26" t="s">
        <v>77</v>
      </c>
      <c r="D26" s="33" t="s">
        <v>25</v>
      </c>
      <c r="E26" s="46">
        <v>7500</v>
      </c>
      <c r="F26" s="18">
        <v>7500</v>
      </c>
      <c r="G26" s="19">
        <f t="shared" si="0"/>
        <v>0</v>
      </c>
      <c r="H26" s="41" t="str">
        <f t="shared" si="1"/>
        <v>Paid</v>
      </c>
      <c r="I26" s="35"/>
      <c r="J26" s="60"/>
      <c r="L26" s="86">
        <v>46245</v>
      </c>
      <c r="M26" s="22">
        <v>2000</v>
      </c>
    </row>
    <row r="27" spans="1:13" ht="18.75" hidden="1" customHeight="1" x14ac:dyDescent="0.25">
      <c r="A27" s="51">
        <v>21</v>
      </c>
      <c r="B27" s="80" t="s">
        <v>78</v>
      </c>
      <c r="C27" t="s">
        <v>69</v>
      </c>
      <c r="D27" s="37" t="s">
        <v>25</v>
      </c>
      <c r="E27" s="46">
        <v>7500</v>
      </c>
      <c r="F27" s="18">
        <v>7500</v>
      </c>
      <c r="G27" s="19">
        <f t="shared" si="0"/>
        <v>0</v>
      </c>
      <c r="H27" s="82" t="str">
        <f t="shared" si="1"/>
        <v>Paid</v>
      </c>
      <c r="I27" s="35"/>
      <c r="J27" s="47"/>
      <c r="L27" s="86">
        <v>46286</v>
      </c>
      <c r="M27" s="22">
        <v>37600</v>
      </c>
    </row>
    <row r="28" spans="1:13" ht="15.75" hidden="1" customHeight="1" x14ac:dyDescent="0.25">
      <c r="A28" s="51">
        <v>22</v>
      </c>
      <c r="B28" s="80" t="s">
        <v>79</v>
      </c>
      <c r="C28" t="s">
        <v>80</v>
      </c>
      <c r="D28" s="37" t="s">
        <v>25</v>
      </c>
      <c r="E28" s="66">
        <v>7000</v>
      </c>
      <c r="F28" s="18">
        <v>7000</v>
      </c>
      <c r="G28" s="19">
        <f t="shared" si="0"/>
        <v>0</v>
      </c>
      <c r="H28" s="82" t="str">
        <f t="shared" si="1"/>
        <v>Paid</v>
      </c>
      <c r="I28" s="61"/>
      <c r="J28" s="62"/>
      <c r="L28" s="86"/>
      <c r="M28" s="22"/>
    </row>
    <row r="29" spans="1:13" ht="15" hidden="1" x14ac:dyDescent="0.25">
      <c r="A29" s="51">
        <v>23</v>
      </c>
      <c r="B29" s="80" t="s">
        <v>82</v>
      </c>
      <c r="C29" t="s">
        <v>83</v>
      </c>
      <c r="D29" s="65" t="s">
        <v>25</v>
      </c>
      <c r="E29" s="67">
        <v>4000</v>
      </c>
      <c r="F29" s="18">
        <v>4000</v>
      </c>
      <c r="G29" s="19">
        <f t="shared" si="0"/>
        <v>0</v>
      </c>
      <c r="H29" s="83" t="str">
        <f t="shared" si="1"/>
        <v>Paid</v>
      </c>
      <c r="I29" s="68"/>
      <c r="J29" s="69"/>
      <c r="L29" s="86"/>
      <c r="M29" s="22"/>
    </row>
    <row r="30" spans="1:13" ht="15" hidden="1" x14ac:dyDescent="0.25">
      <c r="A30" s="51">
        <v>24</v>
      </c>
      <c r="B30" s="80" t="s">
        <v>84</v>
      </c>
      <c r="C30" t="s">
        <v>85</v>
      </c>
      <c r="D30" s="65" t="s">
        <v>25</v>
      </c>
      <c r="E30" s="67">
        <v>6000</v>
      </c>
      <c r="F30" s="18">
        <v>6000</v>
      </c>
      <c r="G30" s="19">
        <f t="shared" si="0"/>
        <v>0</v>
      </c>
      <c r="H30" s="83" t="str">
        <f t="shared" si="1"/>
        <v>Paid</v>
      </c>
      <c r="I30" s="68"/>
      <c r="J30" s="69"/>
      <c r="L30" s="86"/>
      <c r="M30" s="22">
        <v>0</v>
      </c>
    </row>
    <row r="31" spans="1:13" ht="15" hidden="1" x14ac:dyDescent="0.25">
      <c r="A31" s="51">
        <v>25</v>
      </c>
      <c r="B31" s="80" t="s">
        <v>86</v>
      </c>
      <c r="C31" t="s">
        <v>87</v>
      </c>
      <c r="D31" s="65" t="s">
        <v>25</v>
      </c>
      <c r="E31" s="67">
        <v>6000</v>
      </c>
      <c r="F31" s="18">
        <v>6000</v>
      </c>
      <c r="G31" s="19">
        <f t="shared" si="0"/>
        <v>0</v>
      </c>
      <c r="H31" s="83" t="str">
        <f t="shared" si="1"/>
        <v>Paid</v>
      </c>
      <c r="I31" s="68"/>
      <c r="J31" s="69"/>
      <c r="L31" s="86"/>
      <c r="M31" s="22">
        <v>0</v>
      </c>
    </row>
    <row r="32" spans="1:13" ht="15" hidden="1" x14ac:dyDescent="0.25">
      <c r="A32" s="51">
        <v>26</v>
      </c>
      <c r="B32" s="80" t="s">
        <v>88</v>
      </c>
      <c r="C32" t="s">
        <v>89</v>
      </c>
      <c r="D32" s="65" t="s">
        <v>25</v>
      </c>
      <c r="E32" s="67">
        <v>3000</v>
      </c>
      <c r="F32" s="18">
        <v>3000</v>
      </c>
      <c r="G32" s="19">
        <f t="shared" si="0"/>
        <v>0</v>
      </c>
      <c r="H32" s="83" t="str">
        <f t="shared" si="1"/>
        <v>Paid</v>
      </c>
      <c r="I32" s="68"/>
      <c r="J32" s="69"/>
      <c r="L32" s="86"/>
      <c r="M32" s="22">
        <v>0</v>
      </c>
    </row>
    <row r="33" spans="1:13" ht="15" hidden="1" x14ac:dyDescent="0.25">
      <c r="A33" s="51">
        <v>27</v>
      </c>
      <c r="B33" s="80" t="s">
        <v>90</v>
      </c>
      <c r="C33" t="s">
        <v>91</v>
      </c>
      <c r="D33" s="65" t="s">
        <v>25</v>
      </c>
      <c r="E33" s="67">
        <v>8000</v>
      </c>
      <c r="F33" s="18">
        <v>8000</v>
      </c>
      <c r="G33" s="19">
        <f t="shared" si="0"/>
        <v>0</v>
      </c>
      <c r="H33" s="83" t="str">
        <f t="shared" si="1"/>
        <v>Paid</v>
      </c>
      <c r="I33" s="68"/>
      <c r="J33" s="69"/>
      <c r="L33" s="86"/>
      <c r="M33" s="22">
        <v>0</v>
      </c>
    </row>
    <row r="34" spans="1:13" ht="15" hidden="1" x14ac:dyDescent="0.25">
      <c r="A34" s="51">
        <v>28</v>
      </c>
      <c r="B34" s="80" t="s">
        <v>92</v>
      </c>
      <c r="C34" t="s">
        <v>93</v>
      </c>
      <c r="D34" s="65" t="s">
        <v>25</v>
      </c>
      <c r="E34" s="67">
        <v>4000</v>
      </c>
      <c r="F34" s="18">
        <v>4000</v>
      </c>
      <c r="G34" s="19">
        <f t="shared" si="0"/>
        <v>0</v>
      </c>
      <c r="H34" s="83" t="str">
        <f t="shared" si="1"/>
        <v>Paid</v>
      </c>
      <c r="I34" s="68"/>
      <c r="J34" s="69"/>
      <c r="L34" s="86"/>
      <c r="M34" s="22">
        <v>0</v>
      </c>
    </row>
    <row r="35" spans="1:13" ht="15" hidden="1" x14ac:dyDescent="0.25">
      <c r="A35" s="51">
        <v>29</v>
      </c>
      <c r="B35" s="80" t="s">
        <v>94</v>
      </c>
      <c r="C35" t="s">
        <v>95</v>
      </c>
      <c r="D35" s="65" t="s">
        <v>25</v>
      </c>
      <c r="E35" s="67">
        <v>5000</v>
      </c>
      <c r="F35" s="18">
        <v>5000</v>
      </c>
      <c r="G35" s="19">
        <f t="shared" ref="G35:G44" si="2">E35-F35</f>
        <v>0</v>
      </c>
      <c r="H35" s="83" t="str">
        <f t="shared" si="1"/>
        <v>Paid</v>
      </c>
      <c r="I35" s="35"/>
      <c r="J35" s="69"/>
      <c r="L35" s="15" t="s">
        <v>81</v>
      </c>
      <c r="M35" s="76">
        <f>SUM(M8:M34)</f>
        <v>177100</v>
      </c>
    </row>
    <row r="36" spans="1:13" ht="15" hidden="1" x14ac:dyDescent="0.25">
      <c r="A36" s="51">
        <v>30</v>
      </c>
      <c r="B36" s="80" t="s">
        <v>96</v>
      </c>
      <c r="C36" t="s">
        <v>93</v>
      </c>
      <c r="D36" s="65" t="s">
        <v>25</v>
      </c>
      <c r="E36" s="67">
        <v>8000</v>
      </c>
      <c r="F36" s="18">
        <v>8000</v>
      </c>
      <c r="G36" s="19">
        <f t="shared" si="2"/>
        <v>0</v>
      </c>
      <c r="H36" s="83" t="str">
        <f t="shared" si="1"/>
        <v>Paid</v>
      </c>
      <c r="I36" s="77"/>
      <c r="J36" s="69"/>
    </row>
    <row r="37" spans="1:13" ht="15" hidden="1" x14ac:dyDescent="0.25">
      <c r="A37" s="51">
        <v>31</v>
      </c>
      <c r="B37" s="78" t="s">
        <v>97</v>
      </c>
      <c r="C37" t="s">
        <v>93</v>
      </c>
      <c r="D37" s="65" t="s">
        <v>25</v>
      </c>
      <c r="E37" s="67">
        <v>8000</v>
      </c>
      <c r="F37" s="18">
        <v>8000</v>
      </c>
      <c r="G37" s="19">
        <f t="shared" si="2"/>
        <v>0</v>
      </c>
      <c r="H37" s="83" t="str">
        <f t="shared" si="1"/>
        <v>Paid</v>
      </c>
      <c r="I37" s="77"/>
      <c r="J37" s="69"/>
    </row>
    <row r="38" spans="1:13" ht="15" hidden="1" x14ac:dyDescent="0.25">
      <c r="A38" s="51">
        <v>32</v>
      </c>
      <c r="B38" s="81" t="s">
        <v>98</v>
      </c>
      <c r="C38" t="s">
        <v>99</v>
      </c>
      <c r="D38" s="65" t="s">
        <v>25</v>
      </c>
      <c r="E38" s="67">
        <v>8000</v>
      </c>
      <c r="F38" s="18">
        <v>8000</v>
      </c>
      <c r="G38" s="19">
        <f t="shared" si="2"/>
        <v>0</v>
      </c>
      <c r="H38" s="83" t="str">
        <f t="shared" si="1"/>
        <v>Paid</v>
      </c>
      <c r="I38" s="77"/>
      <c r="J38" s="84">
        <v>46266</v>
      </c>
    </row>
    <row r="39" spans="1:13" ht="15" hidden="1" x14ac:dyDescent="0.25">
      <c r="A39" s="51">
        <v>33</v>
      </c>
      <c r="B39" s="78" t="s">
        <v>112</v>
      </c>
      <c r="C39" t="s">
        <v>113</v>
      </c>
      <c r="D39" s="65" t="s">
        <v>25</v>
      </c>
      <c r="E39" s="67">
        <v>7000</v>
      </c>
      <c r="F39" s="18">
        <v>7000</v>
      </c>
      <c r="G39" s="19">
        <f t="shared" si="2"/>
        <v>0</v>
      </c>
      <c r="H39" s="83" t="str">
        <f t="shared" si="1"/>
        <v>Paid</v>
      </c>
      <c r="I39" s="77"/>
      <c r="J39" s="84">
        <v>46242</v>
      </c>
    </row>
    <row r="40" spans="1:13" ht="15" hidden="1" x14ac:dyDescent="0.25">
      <c r="A40" s="51">
        <v>34</v>
      </c>
      <c r="B40" s="80" t="s">
        <v>100</v>
      </c>
      <c r="C40" t="s">
        <v>101</v>
      </c>
      <c r="D40" s="65" t="s">
        <v>25</v>
      </c>
      <c r="E40" s="67">
        <v>24000</v>
      </c>
      <c r="F40" s="18">
        <v>24000</v>
      </c>
      <c r="G40" s="19">
        <f t="shared" si="2"/>
        <v>0</v>
      </c>
      <c r="H40" s="83" t="str">
        <f t="shared" si="1"/>
        <v>Paid</v>
      </c>
      <c r="I40" s="77"/>
      <c r="J40" s="69"/>
    </row>
    <row r="41" spans="1:13" ht="15" hidden="1" x14ac:dyDescent="0.25">
      <c r="A41" s="51">
        <v>35</v>
      </c>
      <c r="B41" s="78" t="s">
        <v>102</v>
      </c>
      <c r="C41" t="s">
        <v>93</v>
      </c>
      <c r="D41" s="65" t="s">
        <v>25</v>
      </c>
      <c r="E41" s="67">
        <v>8000</v>
      </c>
      <c r="F41" s="18">
        <v>0</v>
      </c>
      <c r="G41" s="19">
        <f t="shared" si="2"/>
        <v>8000</v>
      </c>
      <c r="H41" s="83" t="str">
        <f t="shared" si="1"/>
        <v>Unpaid</v>
      </c>
      <c r="I41" s="77"/>
      <c r="J41" s="69"/>
    </row>
    <row r="42" spans="1:13" ht="15" hidden="1" x14ac:dyDescent="0.25">
      <c r="A42" s="51">
        <v>36</v>
      </c>
      <c r="B42" s="80" t="s">
        <v>109</v>
      </c>
      <c r="D42" s="65" t="s">
        <v>25</v>
      </c>
      <c r="E42" s="67">
        <v>8000</v>
      </c>
      <c r="F42" s="18">
        <v>8000</v>
      </c>
      <c r="G42" s="19">
        <f>E42-F42</f>
        <v>0</v>
      </c>
      <c r="H42" s="83" t="str">
        <f t="shared" si="1"/>
        <v>Paid</v>
      </c>
      <c r="I42" s="77"/>
      <c r="J42" s="69"/>
    </row>
    <row r="43" spans="1:13" ht="15" hidden="1" x14ac:dyDescent="0.25">
      <c r="A43" s="51"/>
      <c r="B43" s="80" t="s">
        <v>111</v>
      </c>
      <c r="D43" s="65" t="s">
        <v>25</v>
      </c>
      <c r="E43" s="67">
        <v>6000</v>
      </c>
      <c r="F43" s="18">
        <v>6000</v>
      </c>
      <c r="G43" s="19">
        <f>E43-F43</f>
        <v>0</v>
      </c>
      <c r="H43" s="83"/>
      <c r="I43" s="35"/>
      <c r="J43" s="69"/>
    </row>
    <row r="44" spans="1:13" ht="15" hidden="1" x14ac:dyDescent="0.25">
      <c r="A44" s="51">
        <v>37</v>
      </c>
      <c r="B44" s="80" t="s">
        <v>103</v>
      </c>
      <c r="C44" t="s">
        <v>104</v>
      </c>
      <c r="D44" s="65" t="s">
        <v>25</v>
      </c>
      <c r="E44" s="67">
        <v>6000</v>
      </c>
      <c r="F44" s="18">
        <v>6000</v>
      </c>
      <c r="G44" s="19">
        <f t="shared" si="2"/>
        <v>0</v>
      </c>
      <c r="H44" s="83" t="str">
        <f t="shared" si="1"/>
        <v>Paid</v>
      </c>
      <c r="I44" s="77"/>
      <c r="J44" s="69"/>
    </row>
    <row r="45" spans="1:13" ht="15" x14ac:dyDescent="0.25">
      <c r="A45" s="51">
        <v>38</v>
      </c>
      <c r="B45" s="78" t="s">
        <v>105</v>
      </c>
      <c r="C45" t="s">
        <v>106</v>
      </c>
      <c r="D45" s="65" t="s">
        <v>25</v>
      </c>
      <c r="E45" s="67">
        <v>4000</v>
      </c>
      <c r="F45" s="18">
        <v>2000</v>
      </c>
      <c r="G45" s="19">
        <f t="shared" si="0"/>
        <v>2000</v>
      </c>
      <c r="H45" s="83" t="str">
        <f t="shared" si="1"/>
        <v>Partial Paid</v>
      </c>
      <c r="I45" s="68"/>
      <c r="J45" s="69"/>
    </row>
    <row r="46" spans="1:13" ht="15" x14ac:dyDescent="0.25">
      <c r="A46" s="89"/>
      <c r="B46" s="90" t="s">
        <v>114</v>
      </c>
      <c r="D46" s="65" t="s">
        <v>25</v>
      </c>
      <c r="E46" s="91">
        <v>7000</v>
      </c>
      <c r="F46" s="92">
        <v>3500</v>
      </c>
      <c r="G46" s="93">
        <f>E46-F46</f>
        <v>3500</v>
      </c>
      <c r="H46" s="83" t="str">
        <f t="shared" si="1"/>
        <v>Partial Paid</v>
      </c>
      <c r="I46" s="35"/>
      <c r="J46" s="94"/>
    </row>
    <row r="47" spans="1:13" ht="15" hidden="1" x14ac:dyDescent="0.25">
      <c r="A47" s="72" t="s">
        <v>107</v>
      </c>
      <c r="B47" s="73" t="s">
        <v>107</v>
      </c>
      <c r="C47" s="73"/>
      <c r="D47" s="73"/>
      <c r="E47" s="74">
        <f>SUBTOTAL(109,E8:E45)</f>
        <v>11000</v>
      </c>
      <c r="F47" s="74">
        <f>SUBTOTAL(109,F8:F45)</f>
        <v>5500</v>
      </c>
      <c r="G47" s="74">
        <f ca="1">SUM(G8:G47)</f>
        <v>0</v>
      </c>
      <c r="H47" s="73" t="s">
        <v>107</v>
      </c>
      <c r="I47" s="73"/>
      <c r="J47" s="73"/>
    </row>
    <row r="48" spans="1:13" ht="15" x14ac:dyDescent="0.25"/>
    <row r="49" spans="1:8" ht="15" x14ac:dyDescent="0.25">
      <c r="F49" s="15"/>
      <c r="G49" s="75"/>
    </row>
    <row r="50" spans="1:8" ht="15" x14ac:dyDescent="0.25">
      <c r="A50" t="s">
        <v>108</v>
      </c>
      <c r="C50" s="88"/>
      <c r="D50" s="88"/>
      <c r="E50" s="88"/>
      <c r="F50" s="86"/>
      <c r="G50" s="22"/>
      <c r="H50" s="88"/>
    </row>
    <row r="51" spans="1:8" ht="15" x14ac:dyDescent="0.25">
      <c r="C51" s="88"/>
      <c r="D51" s="88"/>
      <c r="E51" s="88"/>
      <c r="F51" s="86"/>
      <c r="G51" s="26"/>
      <c r="H51" s="88"/>
    </row>
    <row r="52" spans="1:8" ht="15" x14ac:dyDescent="0.25">
      <c r="C52" s="88"/>
      <c r="D52" s="88"/>
      <c r="E52" s="88"/>
      <c r="F52" s="86"/>
      <c r="G52" s="22"/>
      <c r="H52" s="88"/>
    </row>
    <row r="53" spans="1:8" ht="15" x14ac:dyDescent="0.25">
      <c r="C53" s="88"/>
      <c r="D53" s="88"/>
      <c r="E53" s="88"/>
      <c r="F53" s="86"/>
      <c r="G53" s="70"/>
      <c r="H53" s="88"/>
    </row>
    <row r="54" spans="1:8" ht="15" x14ac:dyDescent="0.25">
      <c r="C54" s="88"/>
      <c r="D54" s="88"/>
      <c r="E54" s="88"/>
      <c r="F54" s="86"/>
      <c r="G54" s="71"/>
      <c r="H54" s="88"/>
    </row>
    <row r="55" spans="1:8" ht="15" x14ac:dyDescent="0.25">
      <c r="F55" s="86"/>
      <c r="G55" s="26"/>
    </row>
    <row r="56" spans="1:8" ht="15" x14ac:dyDescent="0.25">
      <c r="F56" s="86"/>
      <c r="G56" s="26"/>
    </row>
    <row r="57" spans="1:8" ht="15" x14ac:dyDescent="0.25">
      <c r="F57" s="86"/>
      <c r="G57" s="22"/>
    </row>
    <row r="58" spans="1:8" ht="18.75" customHeight="1" x14ac:dyDescent="0.25">
      <c r="E58" s="48"/>
      <c r="F58" s="86"/>
      <c r="G58" s="26"/>
    </row>
    <row r="59" spans="1:8" ht="18.75" customHeight="1" x14ac:dyDescent="0.25">
      <c r="F59" s="86"/>
      <c r="G59" s="22"/>
    </row>
    <row r="60" spans="1:8" ht="18.75" customHeight="1" x14ac:dyDescent="0.25">
      <c r="F60" s="86"/>
      <c r="G60" s="22"/>
    </row>
    <row r="61" spans="1:8" ht="18.75" customHeight="1" x14ac:dyDescent="0.25">
      <c r="F61" s="86"/>
      <c r="G61" s="22"/>
    </row>
    <row r="62" spans="1:8" ht="18.75" customHeight="1" x14ac:dyDescent="0.25">
      <c r="F62" s="86"/>
      <c r="G62" s="22"/>
    </row>
    <row r="63" spans="1:8" ht="18.75" customHeight="1" x14ac:dyDescent="0.25">
      <c r="F63" s="86"/>
      <c r="G63" s="22"/>
    </row>
    <row r="64" spans="1:8" ht="18.75" customHeight="1" x14ac:dyDescent="0.25">
      <c r="F64" s="86"/>
      <c r="G64" s="22"/>
    </row>
    <row r="65" spans="6:12" ht="18.75" customHeight="1" x14ac:dyDescent="0.25">
      <c r="F65" s="86"/>
      <c r="G65" s="22"/>
    </row>
    <row r="66" spans="6:12" ht="18.75" customHeight="1" x14ac:dyDescent="0.25">
      <c r="F66" s="86"/>
      <c r="G66" s="22"/>
    </row>
    <row r="67" spans="6:12" ht="18.75" customHeight="1" x14ac:dyDescent="0.25">
      <c r="F67" s="86"/>
      <c r="G67" s="22"/>
    </row>
    <row r="68" spans="6:12" ht="18.75" customHeight="1" x14ac:dyDescent="0.25">
      <c r="F68" s="86"/>
      <c r="G68" s="22"/>
    </row>
    <row r="69" spans="6:12" ht="18.75" customHeight="1" x14ac:dyDescent="0.25">
      <c r="F69" s="86"/>
      <c r="G69" s="22"/>
    </row>
    <row r="70" spans="6:12" ht="18.75" customHeight="1" x14ac:dyDescent="0.25">
      <c r="F70" s="86"/>
      <c r="G70" s="22"/>
    </row>
    <row r="71" spans="6:12" ht="18.75" customHeight="1" x14ac:dyDescent="0.25">
      <c r="F71" s="86"/>
      <c r="G71" s="22"/>
    </row>
    <row r="72" spans="6:12" ht="18.75" customHeight="1" x14ac:dyDescent="0.25">
      <c r="F72" s="86"/>
      <c r="G72" s="22"/>
    </row>
    <row r="73" spans="6:12" ht="18.75" customHeight="1" x14ac:dyDescent="0.25">
      <c r="F73" s="86"/>
      <c r="G73" s="22"/>
    </row>
    <row r="74" spans="6:12" ht="18.75" customHeight="1" x14ac:dyDescent="0.25">
      <c r="F74" s="86"/>
      <c r="G74" s="22"/>
    </row>
    <row r="75" spans="6:12" ht="18.75" customHeight="1" x14ac:dyDescent="0.25">
      <c r="F75" s="86"/>
      <c r="G75" s="22"/>
    </row>
    <row r="76" spans="6:12" ht="18.75" customHeight="1" x14ac:dyDescent="0.25">
      <c r="F76" s="86"/>
      <c r="G76" s="22"/>
      <c r="L76" s="43" t="s">
        <v>2</v>
      </c>
    </row>
    <row r="77" spans="6:12" ht="18.75" customHeight="1" x14ac:dyDescent="0.25">
      <c r="F77" s="15"/>
      <c r="G77" s="76"/>
    </row>
    <row r="93" spans="2:3" ht="18.75" customHeight="1" x14ac:dyDescent="0.25">
      <c r="B93" t="str">
        <f t="shared" ref="B93:C96" si="3">UPPER(B38)</f>
        <v>ARIBA</v>
      </c>
      <c r="C93" t="str">
        <f t="shared" si="3"/>
        <v>FAWAD KHAN</v>
      </c>
    </row>
    <row r="94" spans="2:3" ht="18.75" customHeight="1" x14ac:dyDescent="0.25">
      <c r="B94" t="str">
        <f t="shared" si="3"/>
        <v>AYESHA BASHIR</v>
      </c>
      <c r="C94" t="str">
        <f t="shared" si="3"/>
        <v>MUHAMMAD BASHIR</v>
      </c>
    </row>
    <row r="95" spans="2:3" ht="18.75" customHeight="1" x14ac:dyDescent="0.25">
      <c r="B95" t="str">
        <f t="shared" si="3"/>
        <v xml:space="preserve">SAIF ULLAH </v>
      </c>
      <c r="C95" t="str">
        <f t="shared" si="3"/>
        <v>TAHIR RAHEEM</v>
      </c>
    </row>
    <row r="96" spans="2:3" ht="18.75" customHeight="1" x14ac:dyDescent="0.25">
      <c r="B96" t="str">
        <f t="shared" si="3"/>
        <v>HASSAN ALI KHAN</v>
      </c>
      <c r="C96" t="str">
        <f t="shared" si="3"/>
        <v/>
      </c>
    </row>
    <row r="97" spans="2:35" ht="18.75" customHeight="1" x14ac:dyDescent="0.25">
      <c r="B97" t="str">
        <f>UPPER(B44)</f>
        <v>MUJEEB ULLAH</v>
      </c>
      <c r="C97" t="str">
        <f>UPPER(C44)</f>
        <v>FAZAL HADI</v>
      </c>
    </row>
    <row r="98" spans="2:35" ht="18.75" customHeight="1" x14ac:dyDescent="0.25">
      <c r="B98" t="str">
        <f>UPPER(B45)</f>
        <v>MUHAMMAD ALI</v>
      </c>
      <c r="C98" t="str">
        <f>UPPER(C45)</f>
        <v>MUHAMMAD SALEEM</v>
      </c>
    </row>
    <row r="99" spans="2:35" ht="18.75" customHeight="1" x14ac:dyDescent="0.25">
      <c r="C99" t="str">
        <f t="shared" ref="C99" si="4">UPPER(C47)</f>
        <v/>
      </c>
      <c r="AI99" s="49"/>
    </row>
    <row r="100" spans="2:35" ht="18.75" customHeight="1" x14ac:dyDescent="0.25">
      <c r="AI100" s="49"/>
    </row>
  </sheetData>
  <mergeCells count="9">
    <mergeCell ref="A1:M1"/>
    <mergeCell ref="A2:M2"/>
    <mergeCell ref="L4:M5"/>
    <mergeCell ref="D5:E5"/>
    <mergeCell ref="F5:G5"/>
    <mergeCell ref="H5:I5"/>
    <mergeCell ref="D4:E4"/>
    <mergeCell ref="F4:G4"/>
    <mergeCell ref="H4:I4"/>
  </mergeCells>
  <conditionalFormatting sqref="H8:H46">
    <cfRule type="cellIs" dxfId="5" priority="1" operator="equal">
      <formula>"Unpaid"</formula>
    </cfRule>
    <cfRule type="cellIs" dxfId="4" priority="2" operator="equal">
      <formula>"Partial Paid"</formula>
    </cfRule>
    <cfRule type="cellIs" dxfId="3" priority="3" operator="equal">
      <formula>"Paid"</formula>
    </cfRule>
  </conditionalFormatting>
  <hyperlinks>
    <hyperlink ref="L76" r:id="rId1" xr:uid="{7A5908AE-5CA6-42AA-A9FF-C57E4F13A4B8}"/>
  </hyperlinks>
  <pageMargins left="0" right="0" top="0.74803149606299213" bottom="0.74803149606299213" header="0.31496062992125984" footer="0.31496062992125984"/>
  <pageSetup paperSize="17" orientation="landscape"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34B7-AD30-4FBF-A565-5A57C3844E0B}">
  <dimension ref="A1:M47"/>
  <sheetViews>
    <sheetView topLeftCell="B1" zoomScale="115" zoomScaleNormal="115" workbookViewId="0">
      <selection activeCell="F9" sqref="F9"/>
    </sheetView>
  </sheetViews>
  <sheetFormatPr defaultRowHeight="12" customHeight="1" x14ac:dyDescent="0.25"/>
  <cols>
    <col min="1" max="1" width="19.85546875" bestFit="1" customWidth="1"/>
    <col min="2" max="2" width="21.42578125" bestFit="1" customWidth="1"/>
    <col min="3" max="3" width="20.5703125" bestFit="1" customWidth="1"/>
    <col min="4" max="4" width="11.140625" customWidth="1"/>
    <col min="5" max="5" width="14.140625" bestFit="1" customWidth="1"/>
    <col min="6" max="6" width="11.28515625" bestFit="1" customWidth="1"/>
    <col min="7" max="7" width="13.7109375" bestFit="1" customWidth="1"/>
    <col min="8" max="8" width="11.140625" bestFit="1" customWidth="1"/>
    <col min="9" max="9" width="12.42578125" bestFit="1" customWidth="1"/>
    <col min="10" max="10" width="16.85546875" bestFit="1" customWidth="1"/>
    <col min="11" max="11" width="6.140625" customWidth="1"/>
    <col min="12" max="12" width="18.42578125" bestFit="1" customWidth="1"/>
    <col min="13" max="13" width="13.5703125" bestFit="1" customWidth="1"/>
  </cols>
  <sheetData>
    <row r="1" spans="1:13" ht="85.5" customHeight="1" x14ac:dyDescent="0.25">
      <c r="A1" s="103" t="s">
        <v>0</v>
      </c>
      <c r="B1" s="103"/>
      <c r="C1" s="103"/>
      <c r="D1" s="103"/>
      <c r="E1" s="103"/>
      <c r="F1" s="103"/>
      <c r="G1" s="103"/>
      <c r="H1" s="103"/>
      <c r="I1" s="103"/>
      <c r="J1" s="103"/>
      <c r="K1" s="103"/>
      <c r="L1" s="103"/>
      <c r="M1" s="103"/>
    </row>
    <row r="2" spans="1:13" ht="17.25" customHeight="1" x14ac:dyDescent="0.25">
      <c r="A2" s="104" t="s">
        <v>115</v>
      </c>
      <c r="B2" s="104"/>
      <c r="C2" s="104"/>
      <c r="D2" s="104"/>
      <c r="E2" s="104"/>
      <c r="F2" s="104"/>
      <c r="G2" s="104"/>
      <c r="H2" s="104"/>
      <c r="I2" s="104"/>
      <c r="J2" s="104"/>
      <c r="K2" s="104"/>
      <c r="L2" s="104"/>
      <c r="M2" s="104"/>
    </row>
    <row r="3" spans="1:13" ht="12" customHeight="1" x14ac:dyDescent="0.25">
      <c r="A3" s="2"/>
      <c r="B3" s="2"/>
      <c r="C3" s="2"/>
      <c r="D3" s="2"/>
      <c r="E3" s="2"/>
      <c r="F3" s="2"/>
      <c r="G3" s="2"/>
      <c r="H3" s="2"/>
      <c r="I3" s="2"/>
      <c r="J3" s="2"/>
      <c r="L3" s="3"/>
    </row>
    <row r="4" spans="1:13" ht="13.5" customHeight="1" x14ac:dyDescent="0.25">
      <c r="A4" s="4" t="s">
        <v>3</v>
      </c>
      <c r="B4" s="5" t="s">
        <v>4</v>
      </c>
      <c r="C4" s="6" t="s">
        <v>5</v>
      </c>
      <c r="D4" s="105" t="s">
        <v>6</v>
      </c>
      <c r="E4" s="105"/>
      <c r="F4" s="106" t="s">
        <v>7</v>
      </c>
      <c r="G4" s="106"/>
      <c r="H4" s="107" t="s">
        <v>8</v>
      </c>
      <c r="I4" s="107"/>
      <c r="J4" s="87" t="s">
        <v>9</v>
      </c>
      <c r="L4" s="108" t="s">
        <v>10</v>
      </c>
      <c r="M4" s="108"/>
    </row>
    <row r="5" spans="1:13" ht="21" customHeight="1" x14ac:dyDescent="0.25">
      <c r="A5" s="7">
        <f>E47</f>
        <v>41000</v>
      </c>
      <c r="B5" s="8">
        <f>F47</f>
        <v>29500</v>
      </c>
      <c r="C5" s="79">
        <f>A5-B5</f>
        <v>11500</v>
      </c>
      <c r="D5" s="100">
        <f>B5/100*70</f>
        <v>20650</v>
      </c>
      <c r="E5" s="100"/>
      <c r="F5" s="101">
        <f>B5/100*30</f>
        <v>8850</v>
      </c>
      <c r="G5" s="101"/>
      <c r="H5" s="102">
        <f>M35</f>
        <v>10150</v>
      </c>
      <c r="I5" s="102"/>
      <c r="J5" s="9">
        <f>D5-H5</f>
        <v>10500</v>
      </c>
      <c r="L5" s="108"/>
      <c r="M5" s="108"/>
    </row>
    <row r="6" spans="1:13" ht="12" customHeight="1" x14ac:dyDescent="0.25">
      <c r="A6" s="10"/>
      <c r="B6" s="10" t="s">
        <v>11</v>
      </c>
      <c r="C6" s="10"/>
      <c r="D6" s="10"/>
      <c r="E6" s="10"/>
      <c r="F6" s="10"/>
      <c r="G6" s="10"/>
      <c r="H6" s="10"/>
      <c r="I6" s="10"/>
      <c r="J6" s="10"/>
    </row>
    <row r="7" spans="1:13" ht="12" customHeight="1" x14ac:dyDescent="0.25">
      <c r="A7" s="96" t="s">
        <v>110</v>
      </c>
      <c r="B7" s="96" t="s">
        <v>12</v>
      </c>
      <c r="C7" s="96" t="s">
        <v>13</v>
      </c>
      <c r="D7" s="96" t="s">
        <v>14</v>
      </c>
      <c r="E7" s="96" t="s">
        <v>15</v>
      </c>
      <c r="F7" s="96" t="s">
        <v>16</v>
      </c>
      <c r="G7" s="96" t="s">
        <v>17</v>
      </c>
      <c r="H7" s="96" t="s">
        <v>18</v>
      </c>
      <c r="I7" s="96" t="s">
        <v>19</v>
      </c>
      <c r="J7" s="96" t="s">
        <v>20</v>
      </c>
      <c r="L7" s="15" t="s">
        <v>21</v>
      </c>
      <c r="M7" s="75" t="s">
        <v>22</v>
      </c>
    </row>
    <row r="8" spans="1:13" ht="12" customHeight="1" x14ac:dyDescent="0.25">
      <c r="A8" s="95">
        <v>1</v>
      </c>
      <c r="B8" s="99" t="s">
        <v>116</v>
      </c>
      <c r="C8" s="99"/>
      <c r="D8" s="95" t="s">
        <v>25</v>
      </c>
      <c r="E8" s="95">
        <v>8000</v>
      </c>
      <c r="F8" s="95">
        <v>4500</v>
      </c>
      <c r="G8" s="95">
        <f>E8-F8</f>
        <v>3500</v>
      </c>
      <c r="H8" s="97" t="str">
        <f>IF(F8&lt;1, "Unpaid", IF(F8&lt;E8, "Partial Paid", "Paid"))</f>
        <v>Partial Paid</v>
      </c>
      <c r="I8" s="95"/>
      <c r="J8" s="98">
        <v>46297</v>
      </c>
      <c r="L8" s="86">
        <v>46286</v>
      </c>
      <c r="M8" s="22">
        <v>2400</v>
      </c>
    </row>
    <row r="9" spans="1:13" ht="12" customHeight="1" x14ac:dyDescent="0.25">
      <c r="A9" s="95">
        <v>2</v>
      </c>
      <c r="B9" s="99" t="s">
        <v>36</v>
      </c>
      <c r="C9" s="99"/>
      <c r="D9" s="95" t="s">
        <v>25</v>
      </c>
      <c r="E9" s="95">
        <v>8000</v>
      </c>
      <c r="F9" s="95">
        <v>8000</v>
      </c>
      <c r="G9" s="95">
        <f t="shared" ref="G9:G45" si="0">E9-F9</f>
        <v>0</v>
      </c>
      <c r="H9" s="97" t="str">
        <f t="shared" ref="H9:H46" si="1">IF(F9&lt;1, "Unpaid", IF(F9&lt;E9, "Partial Paid", "Paid"))</f>
        <v>Paid</v>
      </c>
      <c r="I9" s="95"/>
      <c r="J9" s="95"/>
      <c r="L9" s="86">
        <v>46289</v>
      </c>
      <c r="M9" s="22">
        <v>1000</v>
      </c>
    </row>
    <row r="10" spans="1:13" ht="12" customHeight="1" x14ac:dyDescent="0.25">
      <c r="A10" s="95">
        <v>3</v>
      </c>
      <c r="B10" s="99" t="s">
        <v>117</v>
      </c>
      <c r="C10" s="99"/>
      <c r="D10" s="95" t="s">
        <v>25</v>
      </c>
      <c r="E10" s="95">
        <v>9000</v>
      </c>
      <c r="F10" s="95">
        <v>9000</v>
      </c>
      <c r="G10" s="95">
        <f t="shared" si="0"/>
        <v>0</v>
      </c>
      <c r="H10" s="97" t="str">
        <f t="shared" si="1"/>
        <v>Paid</v>
      </c>
      <c r="I10" s="95"/>
      <c r="J10" s="95"/>
      <c r="L10" s="86">
        <v>46298</v>
      </c>
      <c r="M10" s="22">
        <v>8000</v>
      </c>
    </row>
    <row r="11" spans="1:13" ht="12" customHeight="1" x14ac:dyDescent="0.25">
      <c r="A11" s="95">
        <v>4</v>
      </c>
      <c r="B11" s="99" t="s">
        <v>118</v>
      </c>
      <c r="C11" s="99"/>
      <c r="D11" s="95" t="s">
        <v>25</v>
      </c>
      <c r="E11" s="95">
        <v>8000</v>
      </c>
      <c r="F11" s="95">
        <v>8000</v>
      </c>
      <c r="G11" s="95">
        <f t="shared" si="0"/>
        <v>0</v>
      </c>
      <c r="H11" s="97" t="str">
        <f t="shared" si="1"/>
        <v>Paid</v>
      </c>
      <c r="I11" s="95"/>
      <c r="J11" s="95"/>
      <c r="L11" s="86">
        <v>46315</v>
      </c>
      <c r="M11" s="22">
        <v>2150</v>
      </c>
    </row>
    <row r="12" spans="1:13" ht="12" customHeight="1" x14ac:dyDescent="0.25">
      <c r="A12" s="95">
        <v>5</v>
      </c>
      <c r="B12" s="99" t="s">
        <v>119</v>
      </c>
      <c r="C12" s="99"/>
      <c r="D12" s="95" t="s">
        <v>25</v>
      </c>
      <c r="E12" s="95">
        <v>8000</v>
      </c>
      <c r="F12" s="95"/>
      <c r="G12" s="95">
        <f t="shared" si="0"/>
        <v>8000</v>
      </c>
      <c r="H12" s="97" t="str">
        <f t="shared" si="1"/>
        <v>Unpaid</v>
      </c>
      <c r="I12" s="95"/>
      <c r="J12" s="95"/>
      <c r="L12" s="86"/>
      <c r="M12" s="22">
        <v>0</v>
      </c>
    </row>
    <row r="13" spans="1:13" ht="12" customHeight="1" x14ac:dyDescent="0.25">
      <c r="A13" s="95">
        <v>6</v>
      </c>
      <c r="B13" s="99"/>
      <c r="C13" s="99"/>
      <c r="D13" s="95" t="s">
        <v>25</v>
      </c>
      <c r="E13" s="95"/>
      <c r="F13" s="95"/>
      <c r="G13" s="95">
        <f t="shared" si="0"/>
        <v>0</v>
      </c>
      <c r="H13" s="97" t="str">
        <f t="shared" si="1"/>
        <v>Unpaid</v>
      </c>
      <c r="I13" s="95"/>
      <c r="J13" s="95"/>
      <c r="L13" s="86"/>
      <c r="M13" s="22">
        <v>0</v>
      </c>
    </row>
    <row r="14" spans="1:13" ht="12" customHeight="1" x14ac:dyDescent="0.25">
      <c r="A14" s="95">
        <v>7</v>
      </c>
      <c r="B14" s="99"/>
      <c r="C14" s="99"/>
      <c r="D14" s="95" t="s">
        <v>25</v>
      </c>
      <c r="E14" s="95"/>
      <c r="F14" s="95"/>
      <c r="G14" s="95">
        <f t="shared" si="0"/>
        <v>0</v>
      </c>
      <c r="H14" s="97" t="str">
        <f t="shared" si="1"/>
        <v>Unpaid</v>
      </c>
      <c r="I14" s="95"/>
      <c r="J14" s="95"/>
      <c r="L14" s="86"/>
      <c r="M14" s="22">
        <v>0</v>
      </c>
    </row>
    <row r="15" spans="1:13" ht="12" customHeight="1" x14ac:dyDescent="0.25">
      <c r="A15" s="95">
        <v>8</v>
      </c>
      <c r="B15" s="99"/>
      <c r="C15" s="99"/>
      <c r="D15" s="95" t="s">
        <v>25</v>
      </c>
      <c r="E15" s="95"/>
      <c r="F15" s="95"/>
      <c r="G15" s="95">
        <f t="shared" si="0"/>
        <v>0</v>
      </c>
      <c r="H15" s="97" t="str">
        <f t="shared" si="1"/>
        <v>Unpaid</v>
      </c>
      <c r="I15" s="95"/>
      <c r="J15" s="95"/>
      <c r="L15" s="86"/>
      <c r="M15" s="22">
        <v>0</v>
      </c>
    </row>
    <row r="16" spans="1:13" ht="12" customHeight="1" x14ac:dyDescent="0.25">
      <c r="A16" s="95">
        <v>9</v>
      </c>
      <c r="B16" s="99"/>
      <c r="C16" s="99"/>
      <c r="D16" s="95" t="s">
        <v>25</v>
      </c>
      <c r="E16" s="95"/>
      <c r="F16" s="95"/>
      <c r="G16" s="95">
        <f t="shared" si="0"/>
        <v>0</v>
      </c>
      <c r="H16" s="97" t="str">
        <f t="shared" si="1"/>
        <v>Unpaid</v>
      </c>
      <c r="I16" s="95"/>
      <c r="J16" s="95"/>
      <c r="L16" s="86"/>
      <c r="M16" s="22">
        <v>0</v>
      </c>
    </row>
    <row r="17" spans="1:13" ht="12" customHeight="1" x14ac:dyDescent="0.25">
      <c r="A17" s="95">
        <v>10</v>
      </c>
      <c r="B17" s="99"/>
      <c r="C17" s="99"/>
      <c r="D17" s="95" t="s">
        <v>25</v>
      </c>
      <c r="E17" s="95"/>
      <c r="F17" s="95"/>
      <c r="G17" s="95">
        <f t="shared" si="0"/>
        <v>0</v>
      </c>
      <c r="H17" s="97" t="str">
        <f t="shared" si="1"/>
        <v>Unpaid</v>
      </c>
      <c r="I17" s="95"/>
      <c r="J17" s="95"/>
      <c r="L17" s="86"/>
      <c r="M17" s="22">
        <v>0</v>
      </c>
    </row>
    <row r="18" spans="1:13" ht="12" customHeight="1" x14ac:dyDescent="0.25">
      <c r="A18" s="95">
        <v>12</v>
      </c>
      <c r="B18" s="99"/>
      <c r="C18" s="99"/>
      <c r="D18" s="95" t="s">
        <v>25</v>
      </c>
      <c r="E18" s="95"/>
      <c r="F18" s="95"/>
      <c r="G18" s="95">
        <f t="shared" si="0"/>
        <v>0</v>
      </c>
      <c r="H18" s="97" t="str">
        <f t="shared" si="1"/>
        <v>Unpaid</v>
      </c>
      <c r="I18" s="95"/>
      <c r="J18" s="95"/>
      <c r="L18" s="86"/>
      <c r="M18" s="22">
        <v>0</v>
      </c>
    </row>
    <row r="19" spans="1:13" ht="12" customHeight="1" x14ac:dyDescent="0.25">
      <c r="A19" s="95">
        <v>13</v>
      </c>
      <c r="B19" s="99"/>
      <c r="C19" s="99"/>
      <c r="D19" s="95" t="s">
        <v>25</v>
      </c>
      <c r="E19" s="95"/>
      <c r="F19" s="95"/>
      <c r="G19" s="95">
        <f t="shared" si="0"/>
        <v>0</v>
      </c>
      <c r="H19" s="97" t="str">
        <f t="shared" si="1"/>
        <v>Unpaid</v>
      </c>
      <c r="I19" s="95"/>
      <c r="J19" s="95"/>
      <c r="L19" s="86"/>
      <c r="M19" s="22">
        <v>0</v>
      </c>
    </row>
    <row r="20" spans="1:13" ht="12" customHeight="1" x14ac:dyDescent="0.25">
      <c r="A20" s="95">
        <v>14</v>
      </c>
      <c r="B20" s="99"/>
      <c r="C20" s="99"/>
      <c r="D20" s="95" t="s">
        <v>25</v>
      </c>
      <c r="E20" s="95"/>
      <c r="F20" s="95"/>
      <c r="G20" s="95">
        <f t="shared" si="0"/>
        <v>0</v>
      </c>
      <c r="H20" s="97" t="str">
        <f t="shared" si="1"/>
        <v>Unpaid</v>
      </c>
      <c r="I20" s="95"/>
      <c r="J20" s="95"/>
      <c r="L20" s="86"/>
      <c r="M20" s="22">
        <v>0</v>
      </c>
    </row>
    <row r="21" spans="1:13" ht="12" customHeight="1" x14ac:dyDescent="0.25">
      <c r="A21" s="95">
        <v>15</v>
      </c>
      <c r="B21" s="99"/>
      <c r="C21" s="99"/>
      <c r="D21" s="95" t="s">
        <v>25</v>
      </c>
      <c r="E21" s="95"/>
      <c r="F21" s="95"/>
      <c r="G21" s="95">
        <f t="shared" si="0"/>
        <v>0</v>
      </c>
      <c r="H21" s="97" t="str">
        <f>IF(F21&lt;1, "Unpaid", IF(F21&lt;E21, "Partial Paid", "Paid"))</f>
        <v>Unpaid</v>
      </c>
      <c r="I21" s="95"/>
      <c r="J21" s="95"/>
      <c r="L21" s="86"/>
      <c r="M21" s="22">
        <v>0</v>
      </c>
    </row>
    <row r="22" spans="1:13" ht="12" customHeight="1" x14ac:dyDescent="0.25">
      <c r="A22" s="95">
        <v>16</v>
      </c>
      <c r="B22" s="99"/>
      <c r="C22" s="99"/>
      <c r="D22" s="95" t="s">
        <v>25</v>
      </c>
      <c r="E22" s="95"/>
      <c r="F22" s="95"/>
      <c r="G22" s="95">
        <f t="shared" si="0"/>
        <v>0</v>
      </c>
      <c r="H22" s="97" t="str">
        <f t="shared" si="1"/>
        <v>Unpaid</v>
      </c>
      <c r="I22" s="95"/>
      <c r="J22" s="95"/>
      <c r="L22" s="86"/>
      <c r="M22" s="22">
        <v>0</v>
      </c>
    </row>
    <row r="23" spans="1:13" ht="12" customHeight="1" x14ac:dyDescent="0.25">
      <c r="A23" s="95">
        <v>17</v>
      </c>
      <c r="B23" s="99"/>
      <c r="C23" s="99"/>
      <c r="D23" s="95" t="s">
        <v>25</v>
      </c>
      <c r="E23" s="95"/>
      <c r="F23" s="95"/>
      <c r="G23" s="95">
        <f t="shared" si="0"/>
        <v>0</v>
      </c>
      <c r="H23" s="97" t="str">
        <f t="shared" si="1"/>
        <v>Unpaid</v>
      </c>
      <c r="I23" s="95"/>
      <c r="J23" s="95"/>
      <c r="L23" s="86"/>
      <c r="M23" s="22">
        <v>0</v>
      </c>
    </row>
    <row r="24" spans="1:13" ht="12" customHeight="1" x14ac:dyDescent="0.25">
      <c r="A24" s="95">
        <v>18</v>
      </c>
      <c r="B24" s="99"/>
      <c r="C24" s="99"/>
      <c r="D24" s="95" t="s">
        <v>25</v>
      </c>
      <c r="E24" s="95"/>
      <c r="F24" s="95"/>
      <c r="G24" s="95">
        <f t="shared" si="0"/>
        <v>0</v>
      </c>
      <c r="H24" s="97" t="str">
        <f t="shared" si="1"/>
        <v>Unpaid</v>
      </c>
      <c r="I24" s="95"/>
      <c r="J24" s="95"/>
      <c r="L24" s="86"/>
      <c r="M24" s="22">
        <v>0</v>
      </c>
    </row>
    <row r="25" spans="1:13" ht="12" customHeight="1" x14ac:dyDescent="0.25">
      <c r="A25" s="95">
        <v>19</v>
      </c>
      <c r="B25" s="99"/>
      <c r="C25" s="99"/>
      <c r="D25" s="95" t="s">
        <v>25</v>
      </c>
      <c r="E25" s="95"/>
      <c r="F25" s="95"/>
      <c r="G25" s="95">
        <f t="shared" si="0"/>
        <v>0</v>
      </c>
      <c r="H25" s="97" t="str">
        <f t="shared" si="1"/>
        <v>Unpaid</v>
      </c>
      <c r="I25" s="95"/>
      <c r="J25" s="95"/>
      <c r="L25" s="86"/>
      <c r="M25" s="22">
        <v>0</v>
      </c>
    </row>
    <row r="26" spans="1:13" ht="12" customHeight="1" x14ac:dyDescent="0.25">
      <c r="A26" s="95">
        <v>20</v>
      </c>
      <c r="B26" s="99"/>
      <c r="C26" s="99"/>
      <c r="D26" s="95" t="s">
        <v>25</v>
      </c>
      <c r="E26" s="95"/>
      <c r="F26" s="95"/>
      <c r="G26" s="95">
        <f t="shared" si="0"/>
        <v>0</v>
      </c>
      <c r="H26" s="97" t="str">
        <f t="shared" si="1"/>
        <v>Unpaid</v>
      </c>
      <c r="I26" s="95"/>
      <c r="J26" s="95"/>
      <c r="L26" s="86"/>
      <c r="M26" s="22">
        <v>0</v>
      </c>
    </row>
    <row r="27" spans="1:13" ht="12" customHeight="1" x14ac:dyDescent="0.25">
      <c r="A27" s="95">
        <v>21</v>
      </c>
      <c r="B27" s="99"/>
      <c r="C27" s="99"/>
      <c r="D27" s="95" t="s">
        <v>25</v>
      </c>
      <c r="E27" s="95"/>
      <c r="F27" s="95"/>
      <c r="G27" s="95">
        <f t="shared" si="0"/>
        <v>0</v>
      </c>
      <c r="H27" s="97" t="str">
        <f t="shared" si="1"/>
        <v>Unpaid</v>
      </c>
      <c r="I27" s="95"/>
      <c r="J27" s="95"/>
      <c r="L27" s="86"/>
      <c r="M27" s="22">
        <v>0</v>
      </c>
    </row>
    <row r="28" spans="1:13" ht="12" customHeight="1" x14ac:dyDescent="0.25">
      <c r="A28" s="95">
        <v>22</v>
      </c>
      <c r="B28" s="99"/>
      <c r="C28" s="99"/>
      <c r="D28" s="95" t="s">
        <v>25</v>
      </c>
      <c r="E28" s="95"/>
      <c r="F28" s="95"/>
      <c r="G28" s="95">
        <f t="shared" si="0"/>
        <v>0</v>
      </c>
      <c r="H28" s="97" t="str">
        <f t="shared" si="1"/>
        <v>Unpaid</v>
      </c>
      <c r="I28" s="95"/>
      <c r="J28" s="95"/>
      <c r="L28" s="86"/>
      <c r="M28" s="22">
        <v>0</v>
      </c>
    </row>
    <row r="29" spans="1:13" ht="12" customHeight="1" x14ac:dyDescent="0.25">
      <c r="A29" s="95">
        <v>23</v>
      </c>
      <c r="B29" s="99"/>
      <c r="C29" s="99"/>
      <c r="D29" s="95" t="s">
        <v>25</v>
      </c>
      <c r="E29" s="95"/>
      <c r="F29" s="95"/>
      <c r="G29" s="95">
        <f t="shared" si="0"/>
        <v>0</v>
      </c>
      <c r="H29" s="97" t="str">
        <f t="shared" si="1"/>
        <v>Unpaid</v>
      </c>
      <c r="I29" s="95"/>
      <c r="J29" s="95"/>
      <c r="L29" s="86"/>
      <c r="M29" s="22">
        <v>0</v>
      </c>
    </row>
    <row r="30" spans="1:13" ht="12" customHeight="1" x14ac:dyDescent="0.25">
      <c r="A30" s="95">
        <v>24</v>
      </c>
      <c r="B30" s="99"/>
      <c r="C30" s="99"/>
      <c r="D30" s="95" t="s">
        <v>25</v>
      </c>
      <c r="E30" s="95"/>
      <c r="F30" s="95"/>
      <c r="G30" s="95">
        <f t="shared" si="0"/>
        <v>0</v>
      </c>
      <c r="H30" s="97" t="str">
        <f t="shared" si="1"/>
        <v>Unpaid</v>
      </c>
      <c r="I30" s="95"/>
      <c r="J30" s="95"/>
      <c r="L30" s="86"/>
      <c r="M30" s="22">
        <v>0</v>
      </c>
    </row>
    <row r="31" spans="1:13" ht="12" customHeight="1" x14ac:dyDescent="0.25">
      <c r="A31" s="95">
        <v>25</v>
      </c>
      <c r="B31" s="99"/>
      <c r="C31" s="99"/>
      <c r="D31" s="95" t="s">
        <v>25</v>
      </c>
      <c r="E31" s="95"/>
      <c r="F31" s="95"/>
      <c r="G31" s="95">
        <f t="shared" si="0"/>
        <v>0</v>
      </c>
      <c r="H31" s="97" t="str">
        <f t="shared" si="1"/>
        <v>Unpaid</v>
      </c>
      <c r="I31" s="95"/>
      <c r="J31" s="95"/>
      <c r="L31" s="86"/>
      <c r="M31" s="22">
        <v>0</v>
      </c>
    </row>
    <row r="32" spans="1:13" ht="12" customHeight="1" x14ac:dyDescent="0.25">
      <c r="A32" s="95">
        <v>26</v>
      </c>
      <c r="B32" s="99"/>
      <c r="C32" s="99"/>
      <c r="D32" s="95" t="s">
        <v>25</v>
      </c>
      <c r="E32" s="95"/>
      <c r="F32" s="95"/>
      <c r="G32" s="95">
        <f t="shared" si="0"/>
        <v>0</v>
      </c>
      <c r="H32" s="97" t="str">
        <f t="shared" si="1"/>
        <v>Unpaid</v>
      </c>
      <c r="I32" s="95"/>
      <c r="J32" s="95"/>
      <c r="L32" s="86"/>
      <c r="M32" s="22">
        <v>0</v>
      </c>
    </row>
    <row r="33" spans="1:13" ht="12" customHeight="1" x14ac:dyDescent="0.25">
      <c r="A33" s="95">
        <v>27</v>
      </c>
      <c r="B33" s="99"/>
      <c r="C33" s="99"/>
      <c r="D33" s="95" t="s">
        <v>25</v>
      </c>
      <c r="E33" s="95"/>
      <c r="F33" s="95"/>
      <c r="G33" s="95">
        <f t="shared" si="0"/>
        <v>0</v>
      </c>
      <c r="H33" s="97" t="str">
        <f t="shared" si="1"/>
        <v>Unpaid</v>
      </c>
      <c r="I33" s="95"/>
      <c r="J33" s="95"/>
      <c r="L33" s="86"/>
      <c r="M33" s="22">
        <v>0</v>
      </c>
    </row>
    <row r="34" spans="1:13" ht="12" customHeight="1" x14ac:dyDescent="0.25">
      <c r="A34" s="95">
        <v>28</v>
      </c>
      <c r="B34" s="99"/>
      <c r="C34" s="99"/>
      <c r="D34" s="95" t="s">
        <v>25</v>
      </c>
      <c r="E34" s="95"/>
      <c r="F34" s="95"/>
      <c r="G34" s="95">
        <f t="shared" si="0"/>
        <v>0</v>
      </c>
      <c r="H34" s="97" t="str">
        <f t="shared" si="1"/>
        <v>Unpaid</v>
      </c>
      <c r="I34" s="95"/>
      <c r="J34" s="95"/>
      <c r="L34" s="86"/>
      <c r="M34" s="22">
        <v>0</v>
      </c>
    </row>
    <row r="35" spans="1:13" ht="12" customHeight="1" x14ac:dyDescent="0.25">
      <c r="A35" s="95">
        <v>29</v>
      </c>
      <c r="B35" s="99"/>
      <c r="C35" s="99"/>
      <c r="D35" s="95" t="s">
        <v>25</v>
      </c>
      <c r="E35" s="95"/>
      <c r="F35" s="95"/>
      <c r="G35" s="95">
        <f t="shared" si="0"/>
        <v>0</v>
      </c>
      <c r="H35" s="97" t="str">
        <f t="shared" si="1"/>
        <v>Unpaid</v>
      </c>
      <c r="I35" s="95"/>
      <c r="J35" s="95"/>
      <c r="L35" s="15" t="s">
        <v>81</v>
      </c>
      <c r="M35" s="76">
        <f>SUM(M10:M34)</f>
        <v>10150</v>
      </c>
    </row>
    <row r="36" spans="1:13" ht="12" customHeight="1" x14ac:dyDescent="0.25">
      <c r="A36" s="95">
        <v>30</v>
      </c>
      <c r="B36" s="99"/>
      <c r="C36" s="99"/>
      <c r="D36" s="95" t="s">
        <v>25</v>
      </c>
      <c r="E36" s="95"/>
      <c r="F36" s="95"/>
      <c r="G36" s="95">
        <f t="shared" si="0"/>
        <v>0</v>
      </c>
      <c r="H36" s="97" t="str">
        <f t="shared" si="1"/>
        <v>Unpaid</v>
      </c>
      <c r="I36" s="95"/>
      <c r="J36" s="95"/>
    </row>
    <row r="37" spans="1:13" ht="12" customHeight="1" x14ac:dyDescent="0.25">
      <c r="A37" s="95">
        <v>31</v>
      </c>
      <c r="B37" s="99"/>
      <c r="C37" s="99"/>
      <c r="D37" s="95" t="s">
        <v>25</v>
      </c>
      <c r="E37" s="95"/>
      <c r="F37" s="95"/>
      <c r="G37" s="95">
        <f t="shared" si="0"/>
        <v>0</v>
      </c>
      <c r="H37" s="97" t="str">
        <f t="shared" si="1"/>
        <v>Unpaid</v>
      </c>
      <c r="I37" s="95"/>
      <c r="J37" s="95"/>
    </row>
    <row r="38" spans="1:13" ht="12" customHeight="1" x14ac:dyDescent="0.25">
      <c r="A38" s="95">
        <v>32</v>
      </c>
      <c r="B38" s="99"/>
      <c r="C38" s="99"/>
      <c r="D38" s="95" t="s">
        <v>25</v>
      </c>
      <c r="E38" s="95"/>
      <c r="F38" s="95"/>
      <c r="G38" s="95">
        <f t="shared" si="0"/>
        <v>0</v>
      </c>
      <c r="H38" s="97" t="str">
        <f t="shared" si="1"/>
        <v>Unpaid</v>
      </c>
      <c r="I38" s="95"/>
      <c r="J38" s="95"/>
    </row>
    <row r="39" spans="1:13" ht="12" customHeight="1" x14ac:dyDescent="0.25">
      <c r="A39" s="95">
        <v>33</v>
      </c>
      <c r="B39" s="99"/>
      <c r="C39" s="99"/>
      <c r="D39" s="95" t="s">
        <v>25</v>
      </c>
      <c r="E39" s="95"/>
      <c r="F39" s="95"/>
      <c r="G39" s="95">
        <f t="shared" si="0"/>
        <v>0</v>
      </c>
      <c r="H39" s="97" t="str">
        <f t="shared" si="1"/>
        <v>Unpaid</v>
      </c>
      <c r="I39" s="95"/>
      <c r="J39" s="95"/>
    </row>
    <row r="40" spans="1:13" ht="12" customHeight="1" x14ac:dyDescent="0.25">
      <c r="A40" s="95">
        <v>34</v>
      </c>
      <c r="B40" s="99"/>
      <c r="C40" s="99"/>
      <c r="D40" s="95" t="s">
        <v>25</v>
      </c>
      <c r="E40" s="95"/>
      <c r="F40" s="95"/>
      <c r="G40" s="95">
        <f t="shared" si="0"/>
        <v>0</v>
      </c>
      <c r="H40" s="97" t="str">
        <f t="shared" si="1"/>
        <v>Unpaid</v>
      </c>
      <c r="I40" s="95"/>
      <c r="J40" s="95"/>
    </row>
    <row r="41" spans="1:13" ht="12" customHeight="1" x14ac:dyDescent="0.25">
      <c r="A41" s="95">
        <v>35</v>
      </c>
      <c r="B41" s="99"/>
      <c r="C41" s="99"/>
      <c r="D41" s="95" t="s">
        <v>25</v>
      </c>
      <c r="E41" s="95"/>
      <c r="F41" s="95"/>
      <c r="G41" s="95">
        <f t="shared" si="0"/>
        <v>0</v>
      </c>
      <c r="H41" s="97" t="str">
        <f t="shared" si="1"/>
        <v>Unpaid</v>
      </c>
      <c r="I41" s="95"/>
      <c r="J41" s="95"/>
    </row>
    <row r="42" spans="1:13" ht="12" customHeight="1" x14ac:dyDescent="0.25">
      <c r="A42" s="95">
        <v>36</v>
      </c>
      <c r="B42" s="99"/>
      <c r="C42" s="99"/>
      <c r="D42" s="95" t="s">
        <v>25</v>
      </c>
      <c r="E42" s="95"/>
      <c r="F42" s="95"/>
      <c r="G42" s="95">
        <f>E42-F42</f>
        <v>0</v>
      </c>
      <c r="H42" s="97" t="str">
        <f t="shared" si="1"/>
        <v>Unpaid</v>
      </c>
      <c r="I42" s="95"/>
      <c r="J42" s="95"/>
    </row>
    <row r="43" spans="1:13" ht="12" customHeight="1" x14ac:dyDescent="0.25">
      <c r="A43" s="95"/>
      <c r="B43" s="99"/>
      <c r="C43" s="99"/>
      <c r="D43" s="95" t="s">
        <v>25</v>
      </c>
      <c r="E43" s="95"/>
      <c r="F43" s="95"/>
      <c r="G43" s="95">
        <f>E43-F43</f>
        <v>0</v>
      </c>
      <c r="H43" s="97"/>
      <c r="I43" s="95"/>
      <c r="J43" s="95"/>
    </row>
    <row r="44" spans="1:13" ht="12" customHeight="1" x14ac:dyDescent="0.25">
      <c r="A44" s="95">
        <v>37</v>
      </c>
      <c r="B44" s="99"/>
      <c r="C44" s="99"/>
      <c r="D44" s="95" t="s">
        <v>25</v>
      </c>
      <c r="E44" s="95"/>
      <c r="F44" s="95"/>
      <c r="G44" s="95">
        <f t="shared" si="0"/>
        <v>0</v>
      </c>
      <c r="H44" s="97" t="str">
        <f t="shared" si="1"/>
        <v>Unpaid</v>
      </c>
      <c r="I44" s="95"/>
      <c r="J44" s="95"/>
    </row>
    <row r="45" spans="1:13" ht="12" customHeight="1" x14ac:dyDescent="0.25">
      <c r="A45" s="95">
        <v>38</v>
      </c>
      <c r="B45" s="99"/>
      <c r="C45" s="99"/>
      <c r="D45" s="95" t="s">
        <v>25</v>
      </c>
      <c r="E45" s="95"/>
      <c r="F45" s="95"/>
      <c r="G45" s="95">
        <f t="shared" si="0"/>
        <v>0</v>
      </c>
      <c r="H45" s="97" t="str">
        <f t="shared" si="1"/>
        <v>Unpaid</v>
      </c>
      <c r="I45" s="95"/>
      <c r="J45" s="95"/>
    </row>
    <row r="46" spans="1:13" ht="12" customHeight="1" x14ac:dyDescent="0.25">
      <c r="A46" s="95"/>
      <c r="B46" s="99"/>
      <c r="C46" s="99"/>
      <c r="D46" s="95" t="s">
        <v>25</v>
      </c>
      <c r="E46" s="95"/>
      <c r="F46" s="95"/>
      <c r="G46" s="95">
        <f>E46-F46</f>
        <v>0</v>
      </c>
      <c r="H46" s="97" t="str">
        <f t="shared" si="1"/>
        <v>Unpaid</v>
      </c>
      <c r="I46" s="95"/>
      <c r="J46" s="95"/>
    </row>
    <row r="47" spans="1:13" ht="12" customHeight="1" x14ac:dyDescent="0.25">
      <c r="A47" s="72" t="s">
        <v>107</v>
      </c>
      <c r="B47" s="73" t="s">
        <v>107</v>
      </c>
      <c r="C47" s="73"/>
      <c r="D47" s="73"/>
      <c r="E47" s="74">
        <f>SUBTOTAL(109,E8:E45)</f>
        <v>41000</v>
      </c>
      <c r="F47" s="74">
        <f>SUBTOTAL(109,F8:F45)</f>
        <v>29500</v>
      </c>
      <c r="G47" s="74">
        <f ca="1">SUM(G8:G47)</f>
        <v>0</v>
      </c>
      <c r="H47" s="73" t="s">
        <v>107</v>
      </c>
      <c r="I47" s="73"/>
      <c r="J47" s="73"/>
    </row>
  </sheetData>
  <mergeCells count="9">
    <mergeCell ref="D5:E5"/>
    <mergeCell ref="F5:G5"/>
    <mergeCell ref="H5:I5"/>
    <mergeCell ref="A1:M1"/>
    <mergeCell ref="A2:M2"/>
    <mergeCell ref="D4:E4"/>
    <mergeCell ref="F4:G4"/>
    <mergeCell ref="H4:I4"/>
    <mergeCell ref="L4:M5"/>
  </mergeCells>
  <conditionalFormatting sqref="H8:H46">
    <cfRule type="cellIs" dxfId="2" priority="1" operator="equal">
      <formula>"Unpaid"</formula>
    </cfRule>
    <cfRule type="cellIs" dxfId="1" priority="2" operator="equal">
      <formula>"Partial Paid"</formula>
    </cfRule>
    <cfRule type="cellIs" dxfId="0" priority="3" operator="equal">
      <formula>"Paid"</formula>
    </cfRule>
  </conditionalFormatting>
  <dataValidations count="1">
    <dataValidation type="whole" errorStyle="warning" allowBlank="1" showInputMessage="1" showErrorMessage="1" sqref="K10 N10:O10" xr:uid="{1F20AB22-34DB-4E4C-81D8-DFBFB2607D88}">
      <formula1>0</formula1>
      <formula2>10</formula2>
    </dataValidation>
  </dataValidations>
  <pageMargins left="0.7" right="0.7" top="0.75" bottom="0.75" header="0.3" footer="0.3"/>
  <pageSetup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vt:lpstr>
      <vt:lpstr>new batch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ASDI ATD</dc:creator>
  <cp:keywords/>
  <dc:description/>
  <cp:lastModifiedBy>ASDI ATD</cp:lastModifiedBy>
  <cp:revision/>
  <cp:lastPrinted>2026-09-15T08:53:04Z</cp:lastPrinted>
  <dcterms:created xsi:type="dcterms:W3CDTF">2026-06-06T06:33:46Z</dcterms:created>
  <dcterms:modified xsi:type="dcterms:W3CDTF">2026-10-21T10:52:06Z</dcterms:modified>
  <cp:category/>
  <cp:contentStatus/>
</cp:coreProperties>
</file>