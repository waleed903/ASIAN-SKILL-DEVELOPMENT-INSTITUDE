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1a1f9411706e7a40/Desktop/"/>
    </mc:Choice>
  </mc:AlternateContent>
  <xr:revisionPtr revIDLastSave="508" documentId="13_ncr:1_{B046F6CD-7798-47FE-BF2E-8038492DE7A8}" xr6:coauthVersionLast="47" xr6:coauthVersionMax="47" xr10:uidLastSave="{2BE05C65-9655-4E20-BA47-19CC80ABDCAF}"/>
  <bookViews>
    <workbookView xWindow="-120" yWindow="-120" windowWidth="21840" windowHeight="13260" xr2:uid="{50CDA7E6-D800-4955-BC59-74AEC69987BC}"/>
  </bookViews>
  <sheets>
    <sheet name="DATA_BASE" sheetId="1" r:id="rId1"/>
    <sheet name="TEACHER PAY SYSTEM" sheetId="2" r:id="rId2"/>
    <sheet name="Sheet1" sheetId="5" r:id="rId3"/>
  </sheets>
  <definedNames>
    <definedName name="Slicer_STATUS">#N/A</definedName>
    <definedName name="Slicer_SUBJECT">#N/A</definedName>
    <definedName name="Slicer_TEACHER">#N/A</definedName>
  </definedNames>
  <calcPr calcId="191029" calcCompleted="0"/>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43" i="5" l="1"/>
  <c r="D38" i="5" l="1"/>
  <c r="D19" i="5" l="1"/>
  <c r="P100" i="1"/>
  <c r="P61" i="1"/>
  <c r="P59" i="1"/>
  <c r="P55" i="1"/>
  <c r="P52" i="1"/>
  <c r="P50" i="1"/>
  <c r="H102" i="1"/>
  <c r="I102" i="1"/>
  <c r="P102" i="1"/>
  <c r="H101" i="1" l="1"/>
  <c r="I101" i="1"/>
  <c r="P101" i="1"/>
  <c r="I24" i="1"/>
  <c r="I21" i="1"/>
  <c r="I12" i="1"/>
  <c r="G100" i="1"/>
  <c r="H100" i="1" s="1"/>
  <c r="H99" i="1"/>
  <c r="I99" i="1"/>
  <c r="P99" i="1"/>
  <c r="D47" i="2"/>
  <c r="I100" i="1" l="1"/>
  <c r="H98" i="1"/>
  <c r="I98" i="1"/>
  <c r="P98" i="1"/>
  <c r="H97" i="1"/>
  <c r="I97" i="1"/>
  <c r="P97" i="1"/>
  <c r="H96" i="1"/>
  <c r="I96" i="1"/>
  <c r="P96" i="1"/>
  <c r="G51" i="1"/>
  <c r="P95" i="1" l="1"/>
  <c r="G95" i="1" s="1"/>
  <c r="H95" i="1" s="1"/>
  <c r="I95" i="1" l="1"/>
  <c r="P28" i="1" l="1"/>
  <c r="I28" i="1" s="1"/>
  <c r="P29" i="1"/>
  <c r="I29" i="1" s="1"/>
  <c r="P30" i="1"/>
  <c r="I30" i="1" s="1"/>
  <c r="P31" i="1"/>
  <c r="P32" i="1"/>
  <c r="I32" i="1" s="1"/>
  <c r="P33" i="1"/>
  <c r="P34" i="1"/>
  <c r="P35" i="1"/>
  <c r="I35" i="1" s="1"/>
  <c r="P36" i="1"/>
  <c r="P37" i="1"/>
  <c r="I37" i="1" s="1"/>
  <c r="P38" i="1"/>
  <c r="I38" i="1" s="1"/>
  <c r="P39" i="1"/>
  <c r="I39" i="1" s="1"/>
  <c r="P40" i="1"/>
  <c r="I40" i="1" s="1"/>
  <c r="P41" i="1"/>
  <c r="I41" i="1" s="1"/>
  <c r="P42" i="1"/>
  <c r="H42" i="1" s="1"/>
  <c r="P43" i="1"/>
  <c r="P44" i="1"/>
  <c r="I44" i="1" s="1"/>
  <c r="P45" i="1"/>
  <c r="P46" i="1"/>
  <c r="G46" i="1" s="1"/>
  <c r="P47" i="1"/>
  <c r="G47" i="1" s="1"/>
  <c r="P48" i="1"/>
  <c r="I48" i="1" s="1"/>
  <c r="P49" i="1"/>
  <c r="G49" i="1" s="1"/>
  <c r="G50" i="1"/>
  <c r="P51" i="1"/>
  <c r="G52" i="1"/>
  <c r="P53" i="1"/>
  <c r="I53" i="1" s="1"/>
  <c r="P54" i="1"/>
  <c r="P56" i="1"/>
  <c r="P57" i="1"/>
  <c r="I57" i="1" s="1"/>
  <c r="P58" i="1"/>
  <c r="I58" i="1" s="1"/>
  <c r="G59" i="1"/>
  <c r="P60" i="1"/>
  <c r="P27" i="1"/>
  <c r="G31" i="1"/>
  <c r="G32" i="1"/>
  <c r="G35" i="1"/>
  <c r="G36" i="1"/>
  <c r="G37" i="1"/>
  <c r="G38" i="1"/>
  <c r="G39" i="1"/>
  <c r="G40" i="1"/>
  <c r="G41" i="1"/>
  <c r="G48" i="1"/>
  <c r="G56" i="1"/>
  <c r="G57" i="1"/>
  <c r="G58" i="1"/>
  <c r="F36" i="1"/>
  <c r="A5" i="1" s="1"/>
  <c r="I46" i="1" l="1"/>
  <c r="I50" i="1"/>
  <c r="I31" i="1"/>
  <c r="I49" i="1"/>
  <c r="I61" i="1"/>
  <c r="I60" i="1"/>
  <c r="I59" i="1"/>
  <c r="I56" i="1"/>
  <c r="I55" i="1"/>
  <c r="I52" i="1"/>
  <c r="I54" i="1"/>
  <c r="I51" i="1"/>
  <c r="I45" i="1"/>
  <c r="I42" i="1"/>
  <c r="I47" i="1"/>
  <c r="I43" i="1"/>
  <c r="I34" i="1"/>
  <c r="I33" i="1"/>
  <c r="I36" i="1"/>
  <c r="H94" i="1"/>
  <c r="I94" i="1"/>
  <c r="P94" i="1"/>
  <c r="H93" i="1"/>
  <c r="I93" i="1"/>
  <c r="P93" i="1"/>
  <c r="P89" i="1"/>
  <c r="G89" i="1" s="1"/>
  <c r="H89" i="1" s="1"/>
  <c r="P90" i="1"/>
  <c r="G90" i="1" s="1"/>
  <c r="I90" i="1" s="1"/>
  <c r="P91" i="1"/>
  <c r="G91" i="1" s="1"/>
  <c r="H91" i="1" s="1"/>
  <c r="P92" i="1"/>
  <c r="G92" i="1" s="1"/>
  <c r="H92" i="1" s="1"/>
  <c r="H88" i="1"/>
  <c r="I88" i="1"/>
  <c r="P88" i="1"/>
  <c r="I89" i="1" l="1"/>
  <c r="H90" i="1"/>
  <c r="I92" i="1"/>
  <c r="I91" i="1"/>
  <c r="P85" i="1"/>
  <c r="G85" i="1" s="1"/>
  <c r="P84" i="1"/>
  <c r="G84" i="1" s="1"/>
  <c r="P83" i="1"/>
  <c r="G83" i="1" s="1"/>
  <c r="P86" i="1"/>
  <c r="G86" i="1" s="1"/>
  <c r="P87" i="1"/>
  <c r="G87" i="1" s="1"/>
  <c r="P21" i="1"/>
  <c r="P10" i="1"/>
  <c r="G10" i="1" s="1"/>
  <c r="P13" i="1"/>
  <c r="G13" i="1" s="1"/>
  <c r="P22" i="1"/>
  <c r="G22" i="1" s="1"/>
  <c r="P20" i="1"/>
  <c r="G20" i="1" s="1"/>
  <c r="I20" i="1" s="1"/>
  <c r="P8" i="1"/>
  <c r="G8" i="1" s="1"/>
  <c r="P9" i="1"/>
  <c r="G9" i="1" s="1"/>
  <c r="P26" i="1"/>
  <c r="G26" i="1" s="1"/>
  <c r="P12" i="1"/>
  <c r="P15" i="1"/>
  <c r="G15" i="1" s="1"/>
  <c r="P16" i="1"/>
  <c r="G16" i="1" s="1"/>
  <c r="P18" i="1"/>
  <c r="G18" i="1" s="1"/>
  <c r="I18" i="1" s="1"/>
  <c r="P17" i="1"/>
  <c r="G17" i="1" s="1"/>
  <c r="I17" i="1" s="1"/>
  <c r="P19" i="1"/>
  <c r="G19" i="1" s="1"/>
  <c r="I19" i="1" s="1"/>
  <c r="P14" i="1"/>
  <c r="G14" i="1" s="1"/>
  <c r="P11" i="1"/>
  <c r="G11" i="1" s="1"/>
  <c r="P24" i="1"/>
  <c r="P23" i="1"/>
  <c r="G23" i="1" s="1"/>
  <c r="I23" i="1" s="1"/>
  <c r="P25" i="1"/>
  <c r="G25" i="1" s="1"/>
  <c r="I25" i="1" s="1"/>
  <c r="H21" i="1" l="1"/>
  <c r="I87" i="1"/>
  <c r="H87" i="1"/>
  <c r="H84" i="1"/>
  <c r="I84" i="1"/>
  <c r="I86" i="1"/>
  <c r="H86" i="1"/>
  <c r="H83" i="1"/>
  <c r="I83" i="1"/>
  <c r="I85" i="1"/>
  <c r="H85" i="1"/>
  <c r="H82" i="1"/>
  <c r="I82" i="1"/>
  <c r="P82" i="1"/>
  <c r="H81" i="1"/>
  <c r="I81" i="1"/>
  <c r="P81" i="1"/>
  <c r="H65" i="1"/>
  <c r="I65" i="1"/>
  <c r="P65" i="1"/>
  <c r="H80" i="1"/>
  <c r="I80" i="1"/>
  <c r="P80" i="1"/>
  <c r="P62" i="1" l="1"/>
  <c r="P63" i="1"/>
  <c r="P64" i="1"/>
  <c r="P66" i="1"/>
  <c r="P67" i="1"/>
  <c r="P68" i="1"/>
  <c r="P69" i="1"/>
  <c r="P70" i="1"/>
  <c r="P71" i="1"/>
  <c r="P72" i="1"/>
  <c r="P73" i="1"/>
  <c r="P74" i="1"/>
  <c r="P75" i="1"/>
  <c r="P76" i="1"/>
  <c r="P77" i="1"/>
  <c r="P78" i="1"/>
  <c r="P79" i="1"/>
  <c r="H23" i="1" l="1"/>
  <c r="I10" i="1"/>
  <c r="H10" i="1"/>
  <c r="H19" i="1"/>
  <c r="I15" i="1"/>
  <c r="H15" i="1"/>
  <c r="I26" i="1"/>
  <c r="H26" i="1"/>
  <c r="I22" i="1"/>
  <c r="H22" i="1"/>
  <c r="I14" i="1"/>
  <c r="H14" i="1"/>
  <c r="H20" i="1"/>
  <c r="H24" i="1"/>
  <c r="H17" i="1"/>
  <c r="H12" i="1"/>
  <c r="I9" i="1"/>
  <c r="H9" i="1"/>
  <c r="I13" i="1"/>
  <c r="H13" i="1"/>
  <c r="I16" i="1"/>
  <c r="H16" i="1"/>
  <c r="I11" i="1"/>
  <c r="H18" i="1"/>
  <c r="I8" i="1"/>
  <c r="H8" i="1" l="1"/>
  <c r="G28" i="1"/>
  <c r="G29" i="1"/>
  <c r="G27" i="1"/>
  <c r="B5" i="1" l="1"/>
  <c r="C5" i="1" s="1"/>
  <c r="I27" i="1"/>
  <c r="H27" i="1"/>
  <c r="H28" i="1"/>
  <c r="H29" i="1"/>
  <c r="H30" i="1"/>
  <c r="H31" i="1"/>
  <c r="H33" i="1"/>
  <c r="H34" i="1"/>
  <c r="H38" i="1"/>
  <c r="H39" i="1"/>
  <c r="H41" i="1"/>
  <c r="H43" i="1"/>
  <c r="H44" i="1"/>
  <c r="H45" i="1"/>
  <c r="H46" i="1"/>
  <c r="H47" i="1"/>
  <c r="H49" i="1"/>
  <c r="H50" i="1"/>
  <c r="H51" i="1"/>
  <c r="H52" i="1"/>
  <c r="H53" i="1"/>
  <c r="H54" i="1"/>
  <c r="H55" i="1"/>
  <c r="H56" i="1"/>
  <c r="H57" i="1"/>
  <c r="H58" i="1"/>
  <c r="H59" i="1"/>
  <c r="H60" i="1"/>
  <c r="H61" i="1"/>
  <c r="H62" i="1"/>
  <c r="H63" i="1"/>
  <c r="H64" i="1"/>
  <c r="H66" i="1"/>
  <c r="H67" i="1"/>
  <c r="H68" i="1"/>
  <c r="H69" i="1"/>
  <c r="H70" i="1"/>
  <c r="H71" i="1"/>
  <c r="H72" i="1"/>
  <c r="H73" i="1"/>
  <c r="H74" i="1"/>
  <c r="H75" i="1"/>
  <c r="H76" i="1"/>
  <c r="H77" i="1"/>
  <c r="H78" i="1"/>
  <c r="H79" i="1"/>
  <c r="I62" i="1"/>
  <c r="I63" i="1"/>
  <c r="I64" i="1"/>
  <c r="I66" i="1"/>
  <c r="I67" i="1"/>
  <c r="I68" i="1"/>
  <c r="I69" i="1"/>
  <c r="I70" i="1"/>
  <c r="I71" i="1"/>
  <c r="I72" i="1"/>
  <c r="I73" i="1"/>
  <c r="I74" i="1"/>
  <c r="I75" i="1"/>
  <c r="I76" i="1"/>
  <c r="I77" i="1"/>
  <c r="I78" i="1"/>
  <c r="I79" i="1"/>
  <c r="D5" i="1" l="1"/>
  <c r="D42" i="2" s="1"/>
  <c r="D53" i="2" s="1"/>
  <c r="G5" i="1" l="1"/>
  <c r="B56" i="1"/>
  <c r="B46" i="1"/>
  <c r="B44" i="1"/>
  <c r="B10" i="1"/>
  <c r="B58" i="1"/>
  <c r="B78" i="1"/>
  <c r="B64" i="1"/>
  <c r="B18" i="1"/>
  <c r="B11" i="1"/>
  <c r="B49" i="1"/>
  <c r="B59" i="1"/>
  <c r="B68" i="1"/>
  <c r="B19" i="1"/>
  <c r="B31" i="1"/>
  <c r="B22" i="1"/>
  <c r="B41" i="1"/>
  <c r="B51" i="1"/>
  <c r="B43" i="1"/>
  <c r="B67" i="1"/>
  <c r="B73" i="1"/>
  <c r="B8" i="1"/>
  <c r="B45" i="1"/>
  <c r="B71" i="1"/>
  <c r="B74" i="1"/>
  <c r="B77" i="1"/>
  <c r="B17" i="1"/>
  <c r="B29" i="1"/>
  <c r="B15" i="1"/>
  <c r="B70" i="1"/>
  <c r="B32" i="1"/>
  <c r="B60" i="1"/>
  <c r="B34" i="1"/>
  <c r="B40" i="1"/>
  <c r="B30" i="1"/>
  <c r="B16" i="1"/>
  <c r="B12" i="1"/>
  <c r="B47" i="1"/>
  <c r="B66" i="1"/>
  <c r="B25" i="1"/>
  <c r="B69" i="1"/>
  <c r="B37" i="1"/>
  <c r="B14" i="1"/>
  <c r="B42" i="1"/>
  <c r="B57" i="1"/>
  <c r="B52" i="1"/>
  <c r="B28" i="1"/>
  <c r="B39" i="1"/>
  <c r="B55" i="1"/>
  <c r="B20" i="1"/>
  <c r="B27" i="1"/>
  <c r="B62" i="1"/>
  <c r="B61" i="1"/>
  <c r="B24" i="1"/>
  <c r="B23" i="1"/>
  <c r="B53" i="1"/>
  <c r="B21" i="1"/>
  <c r="B13" i="1"/>
  <c r="B72" i="1"/>
  <c r="B36" i="1"/>
  <c r="B33" i="1"/>
  <c r="B38" i="1"/>
  <c r="B54" i="1"/>
  <c r="B35" i="1"/>
  <c r="B48" i="1"/>
  <c r="B50" i="1"/>
  <c r="B26" i="1"/>
  <c r="B9" i="1"/>
  <c r="B63" i="1"/>
</calcChain>
</file>

<file path=xl/sharedStrings.xml><?xml version="1.0" encoding="utf-8"?>
<sst xmlns="http://schemas.openxmlformats.org/spreadsheetml/2006/main" count="359" uniqueCount="218">
  <si>
    <t>OVER ALL STUDENT FEE</t>
  </si>
  <si>
    <t>TOTAL FEE</t>
  </si>
  <si>
    <t>RECEVE FEE</t>
  </si>
  <si>
    <t>REMANING</t>
  </si>
  <si>
    <t>TEACHER SHARE</t>
  </si>
  <si>
    <t>ACADEMY SHARE</t>
  </si>
  <si>
    <t>TEACHER</t>
  </si>
  <si>
    <t>TEACHER REMANING</t>
  </si>
  <si>
    <t>NAME</t>
  </si>
  <si>
    <t>FATHER NAME</t>
  </si>
  <si>
    <t>SUBJECT</t>
  </si>
  <si>
    <t>PAID</t>
  </si>
  <si>
    <t>BALANCE</t>
  </si>
  <si>
    <t>STATUS</t>
  </si>
  <si>
    <t>CONTACT</t>
  </si>
  <si>
    <t>m azeem</t>
  </si>
  <si>
    <t>abdul rafay</t>
  </si>
  <si>
    <t>DIT</t>
  </si>
  <si>
    <t>RASHEED</t>
  </si>
  <si>
    <t>M Shamraiz</t>
  </si>
  <si>
    <t>Tufail Ahmed</t>
  </si>
  <si>
    <t>Muneer Hussain</t>
  </si>
  <si>
    <t>M Rafique</t>
  </si>
  <si>
    <t>M Saleem</t>
  </si>
  <si>
    <t>Naimat Khan</t>
  </si>
  <si>
    <t>Muhammad Haneef</t>
  </si>
  <si>
    <t>Shakeel Ahmad</t>
  </si>
  <si>
    <t>Khushal</t>
  </si>
  <si>
    <t>Liaqat</t>
  </si>
  <si>
    <t>Khaqan</t>
  </si>
  <si>
    <t>Nawaz</t>
  </si>
  <si>
    <t>Haroon ur Rasheed</t>
  </si>
  <si>
    <t>Faisal</t>
  </si>
  <si>
    <t>Hafeez ur Rehman</t>
  </si>
  <si>
    <t>Abdul Munir</t>
  </si>
  <si>
    <t>m zafar</t>
  </si>
  <si>
    <t>REGESTRATION</t>
  </si>
  <si>
    <t>DMC VERYFICATION</t>
  </si>
  <si>
    <t>ADMISION</t>
  </si>
  <si>
    <t>MONTHLY FEE</t>
  </si>
  <si>
    <t>DIT  2</t>
  </si>
  <si>
    <t xml:space="preserve">Raja Abdul Jaleel </t>
  </si>
  <si>
    <t>Gul Tasif Khan</t>
  </si>
  <si>
    <t>M Sarfaraz</t>
  </si>
  <si>
    <t>Zulfiqar</t>
  </si>
  <si>
    <t xml:space="preserve">Sher-Alam </t>
  </si>
  <si>
    <t>Sheikh Nawaz</t>
  </si>
  <si>
    <t>Ch M Arshad</t>
  </si>
  <si>
    <t>Noor Ul Islam</t>
  </si>
  <si>
    <t>M.Irshad</t>
  </si>
  <si>
    <t>Abdul Wahab</t>
  </si>
  <si>
    <t>Mumtaz</t>
  </si>
  <si>
    <t>Arshad Iqbal</t>
  </si>
  <si>
    <t>Tajul Islam</t>
  </si>
  <si>
    <t>Sajjad Khan Swati</t>
  </si>
  <si>
    <t xml:space="preserve">Jahan Gir </t>
  </si>
  <si>
    <t>Rashid</t>
  </si>
  <si>
    <t>Zahoor Ali</t>
  </si>
  <si>
    <t>basharat</t>
  </si>
  <si>
    <t>ashfaq</t>
  </si>
  <si>
    <t>Habib Ullah</t>
  </si>
  <si>
    <t>M tariq</t>
  </si>
  <si>
    <t>Fazal-Hadi</t>
  </si>
  <si>
    <t>Sheikh NAwaz</t>
  </si>
  <si>
    <t>Aurangzeb</t>
  </si>
  <si>
    <t>EXAMINATION</t>
  </si>
  <si>
    <t xml:space="preserve"> </t>
  </si>
  <si>
    <t>S.C</t>
  </si>
  <si>
    <t>ishtiaq ahmed</t>
  </si>
  <si>
    <t>UI_UX</t>
  </si>
  <si>
    <t>zardad</t>
  </si>
  <si>
    <t>AI AUTOMATION</t>
  </si>
  <si>
    <t>TOTAL</t>
  </si>
  <si>
    <t>TEACHER PAYMENT SYSTEM</t>
  </si>
  <si>
    <t>SIR QASIM</t>
  </si>
  <si>
    <t>PAYMENT DATE</t>
  </si>
  <si>
    <t>AMOUNT</t>
  </si>
  <si>
    <t>PAYD AMOUNRT</t>
  </si>
  <si>
    <t>TOTAL  TEACHER PAY</t>
  </si>
  <si>
    <t>TOTAL PAY</t>
  </si>
  <si>
    <t>TEACHERS SHARE</t>
  </si>
  <si>
    <t>SHARE</t>
  </si>
  <si>
    <t>PERVIOUS PAY</t>
  </si>
  <si>
    <t>TAYYBA</t>
  </si>
  <si>
    <t>BAREERA</t>
  </si>
  <si>
    <t>0340-3236105</t>
  </si>
  <si>
    <t>0310-2028505</t>
  </si>
  <si>
    <t>0320-992936</t>
  </si>
  <si>
    <t>0313-5819922</t>
  </si>
  <si>
    <t>0370-5543514</t>
  </si>
  <si>
    <t>0314-5402189</t>
  </si>
  <si>
    <t>0343-5408334</t>
  </si>
  <si>
    <t>0309-9200940</t>
  </si>
  <si>
    <t>0327-5689929</t>
  </si>
  <si>
    <t>0308-5411270</t>
  </si>
  <si>
    <t>0312-3821341</t>
  </si>
  <si>
    <t>0314-9516751</t>
  </si>
  <si>
    <t>0310-5441073</t>
  </si>
  <si>
    <t>0349-0063092</t>
  </si>
  <si>
    <t>0330-3832269</t>
  </si>
  <si>
    <t>0319-8098693</t>
  </si>
  <si>
    <t>0313-9222090</t>
  </si>
  <si>
    <t>0319-6730985</t>
  </si>
  <si>
    <t>0313-5346873</t>
  </si>
  <si>
    <t>0310-9051451</t>
  </si>
  <si>
    <t>0310-1230580</t>
  </si>
  <si>
    <t>0318-5683791</t>
  </si>
  <si>
    <t>Chan Zeb</t>
  </si>
  <si>
    <t>Ali Bahadar</t>
  </si>
  <si>
    <t>Mazher Mahmood</t>
  </si>
  <si>
    <t>Liaqat  Abbasi</t>
  </si>
  <si>
    <t>gulfaraz</t>
  </si>
  <si>
    <t>0318-1552151</t>
  </si>
  <si>
    <t>0346-5716674</t>
  </si>
  <si>
    <t>0337-5968656</t>
  </si>
  <si>
    <t>0301-0543408</t>
  </si>
  <si>
    <t>0370-5216627</t>
  </si>
  <si>
    <t>m yousaf</t>
  </si>
  <si>
    <t>sami ur rahman</t>
  </si>
  <si>
    <t>0314-0862440</t>
  </si>
  <si>
    <t>0310-9178726</t>
  </si>
  <si>
    <t>qazi abdul qadir</t>
  </si>
  <si>
    <t>iftikhar ahmed</t>
  </si>
  <si>
    <t>DIT 2027</t>
  </si>
  <si>
    <t>0307-9110937</t>
  </si>
  <si>
    <t>m yasir gul</t>
  </si>
  <si>
    <t>0311-8386393</t>
  </si>
  <si>
    <t>qamar zaman</t>
  </si>
  <si>
    <t>0371-0546129</t>
  </si>
  <si>
    <t>m waqar</t>
  </si>
  <si>
    <t>0301-5294801</t>
  </si>
  <si>
    <t>r mazhar iqbal</t>
  </si>
  <si>
    <t>0318-1545175</t>
  </si>
  <si>
    <t>E-COMMERCE</t>
  </si>
  <si>
    <t>SIR KAMRAN</t>
  </si>
  <si>
    <t>Muhammad Ayyan</t>
  </si>
  <si>
    <t>M . Shabeer</t>
  </si>
  <si>
    <t>Date Of Admition</t>
  </si>
  <si>
    <t>0337-5730149</t>
  </si>
  <si>
    <t xml:space="preserve">Maryam Shakeel </t>
  </si>
  <si>
    <t>0312-1514495</t>
  </si>
  <si>
    <t>Iqra Bibi</t>
  </si>
  <si>
    <t>Zarwali Khan</t>
  </si>
  <si>
    <t>0322-9935244</t>
  </si>
  <si>
    <t xml:space="preserve">Abdullah </t>
  </si>
  <si>
    <t>Jahan Gir Khan</t>
  </si>
  <si>
    <t>0347-5489951</t>
  </si>
  <si>
    <t>Marwa Abbasi</t>
  </si>
  <si>
    <t>Nawaz Abbasi</t>
  </si>
  <si>
    <t>0312-9223111</t>
  </si>
  <si>
    <t>Hayat Khatoon</t>
  </si>
  <si>
    <t xml:space="preserve">Abdul Samad </t>
  </si>
  <si>
    <t>Tahir Mehmood</t>
  </si>
  <si>
    <t>0370-9366373</t>
  </si>
  <si>
    <t>Hamsher</t>
  </si>
  <si>
    <t>0324-2051103</t>
  </si>
  <si>
    <t xml:space="preserve">Mushtaq </t>
  </si>
  <si>
    <t>Gul Wali</t>
  </si>
  <si>
    <t>0340-3086569</t>
  </si>
  <si>
    <t>0330-1032664</t>
  </si>
  <si>
    <t>ashbeel</t>
  </si>
  <si>
    <t>barkeel</t>
  </si>
  <si>
    <t>0314-3215231</t>
  </si>
  <si>
    <t>classes</t>
  </si>
  <si>
    <t>MAM ANAM</t>
  </si>
  <si>
    <t>S.C KAMRAN</t>
  </si>
  <si>
    <t>JAWAD MUSHTAQ</t>
  </si>
  <si>
    <t>MAIDA YOUSAF</t>
  </si>
  <si>
    <t>0346-9538891</t>
  </si>
  <si>
    <t>SIR ASIF</t>
  </si>
  <si>
    <t>Hamid Ali</t>
  </si>
  <si>
    <t>2</t>
  </si>
  <si>
    <t>Ahmed Ali</t>
  </si>
  <si>
    <t>Muhammad Umer</t>
  </si>
  <si>
    <t>Hussnain</t>
  </si>
  <si>
    <t>Aimen Muneer</t>
  </si>
  <si>
    <t>Rehmat Ali</t>
  </si>
  <si>
    <t>Natasha</t>
  </si>
  <si>
    <t xml:space="preserve">Laiba </t>
  </si>
  <si>
    <t>TYPING</t>
  </si>
  <si>
    <t>SAFIA TARIQ</t>
  </si>
  <si>
    <t>M TARIQ</t>
  </si>
  <si>
    <t>NISAR AHMED</t>
  </si>
  <si>
    <t>IBRAHIM</t>
  </si>
  <si>
    <t>AMNA</t>
  </si>
  <si>
    <t>MISBA</t>
  </si>
  <si>
    <t>SHAFAQ</t>
  </si>
  <si>
    <t>ABDULLAH</t>
  </si>
  <si>
    <t>ZEESHAN</t>
  </si>
  <si>
    <t>JAWAD</t>
  </si>
  <si>
    <t>SAMEER</t>
  </si>
  <si>
    <t>NAEEM</t>
  </si>
  <si>
    <t>0313-5399470</t>
  </si>
  <si>
    <t>IRSA</t>
  </si>
  <si>
    <t>MOHEEN</t>
  </si>
  <si>
    <t>saif ali</t>
  </si>
  <si>
    <t>SAFEEER</t>
  </si>
  <si>
    <t>TARIQ</t>
  </si>
  <si>
    <t xml:space="preserve">        </t>
  </si>
  <si>
    <t>DIT 2ND</t>
  </si>
  <si>
    <t>S NO</t>
  </si>
  <si>
    <t xml:space="preserve">NAME </t>
  </si>
  <si>
    <t>FEE</t>
  </si>
  <si>
    <t xml:space="preserve">PAID </t>
  </si>
  <si>
    <t>Sami Ur Rahman</t>
  </si>
  <si>
    <t>Imran Khan</t>
  </si>
  <si>
    <t xml:space="preserve">Ashir </t>
  </si>
  <si>
    <t>DIT 1ST</t>
  </si>
  <si>
    <t>DIT 1ST 2027</t>
  </si>
  <si>
    <t>WAQAS GUL</t>
  </si>
  <si>
    <t>NOUMAN</t>
  </si>
  <si>
    <t>HASEEB KHAN</t>
  </si>
  <si>
    <t>ENGLISH</t>
  </si>
  <si>
    <t>HUSSNAIN</t>
  </si>
  <si>
    <t>JASIM</t>
  </si>
  <si>
    <t>MUHAMMAD ALI</t>
  </si>
  <si>
    <t>taqi abbasi</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</si>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</sst>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s&quot;* #,##0.00_-;\-&quot;Rs&quot;* #,##0.00_-;_-&quot;Rs&quot;* &quot;-&quot;??_-;_-@_-"/>
    <numFmt numFmtId="164" formatCode="_(&quot;$&quot;* #,##0.00_);_(&quot;$&quot;* \(#,##0.00\);_(&quot;$&quot;* &quot;-&quot;??_);_(@_)"/>
  </numFmts>
  <fonts count="13" x14ac:knownFonts="1">
    <font>
      <sz val="11"/>
      <color theme="1"/>
      <name val="Aptos Narrow"/>
      <family val="2"/>
      <scheme val="minor"/>
    </font>
    <font>
      <sz val="11"/>
      <color theme="0"/>
      <name val="Aptos Narrow"/>
      <family val="2"/>
      <scheme val="minor"/>
    </font>
    <font>
      <b/>
      <sz val="16"/>
      <color theme="1"/>
      <name val="Aptos Narrow"/>
      <family val="2"/>
      <scheme val="minor"/>
    </font>
    <font>
      <b/>
      <sz val="22"/>
      <color theme="1"/>
      <name val="Aptos Narrow"/>
      <family val="2"/>
      <scheme val="minor"/>
    </font>
    <font>
      <sz val="11"/>
      <color theme="1"/>
      <name val="Calibri"/>
      <family val="2"/>
      <charset val="1"/>
    </font>
    <font>
      <b/>
      <u/>
      <sz val="26"/>
      <color theme="0"/>
      <name val="ADLaM Display"/>
    </font>
    <font>
      <sz val="8"/>
      <name val="Aptos Narrow"/>
      <family val="2"/>
      <scheme val="minor"/>
    </font>
    <font>
      <b/>
      <i/>
      <sz val="22"/>
      <color theme="0"/>
      <name val="Aptos Narrow"/>
      <family val="2"/>
      <scheme val="minor"/>
    </font>
    <font>
      <b/>
      <sz val="16"/>
      <color theme="0"/>
      <name val="Aptos Narrow"/>
      <family val="2"/>
      <scheme val="minor"/>
    </font>
    <font>
      <sz val="11"/>
      <color theme="1"/>
      <name val="Aptos Narrow"/>
      <family val="2"/>
      <scheme val="minor"/>
    </font>
    <font>
      <b/>
      <sz val="18"/>
      <color theme="1"/>
      <name val="Aptos Narrow"/>
      <family val="2"/>
      <scheme val="minor"/>
    </font>
    <font>
      <b/>
      <sz val="20"/>
      <color theme="0"/>
      <name val="Aptos Narrow"/>
      <family val="2"/>
      <scheme val="minor"/>
    </font>
    <font>
      <sz val="10"/>
      <color rgb="FF1A1A2E"/>
      <name val="Arial"/>
      <family val="2"/>
    </font>
  </fonts>
  <fills count="11">
    <fill>
      <patternFill patternType="none"/>
    </fill>
    <fill>
      <patternFill patternType="gray125"/>
    </fill>
    <fill>
      <patternFill patternType="solid">
        <fgColor rgb="FF1F4E78"/>
        <bgColor indexed="64"/>
      </patternFill>
    </fill>
    <fill>
      <patternFill patternType="solid">
        <fgColor rgb="FFD9E1F2"/>
        <bgColor indexed="64"/>
      </patternFill>
    </fill>
    <fill>
      <patternFill patternType="solid">
        <fgColor theme="1" tint="0.34998626667073579"/>
        <bgColor indexed="64"/>
      </patternFill>
    </fill>
    <fill>
      <patternFill patternType="solid">
        <fgColor rgb="FFF0F8FF"/>
        <bgColor rgb="FFEEF6FA"/>
      </patternFill>
    </fill>
    <fill>
      <patternFill patternType="solid">
        <fgColor rgb="FF1F4E78"/>
        <bgColor rgb="FFEEF6FA"/>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
      <patternFill patternType="solid">
        <fgColor rgb="FFFFFFFF"/>
        <bgColor rgb="FFF0F8FF"/>
      </patternFill>
    </fill>
  </fills>
  <borders count="38">
    <border>
      <left/>
      <right/>
      <top/>
      <bottom/>
      <diagonal/>
    </border>
    <border>
      <left style="thin">
        <color theme="2"/>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diagonal/>
    </border>
    <border>
      <left style="medium">
        <color theme="0"/>
      </left>
      <right/>
      <top/>
      <bottom/>
      <diagonal/>
    </border>
    <border>
      <left/>
      <right style="medium">
        <color theme="0"/>
      </right>
      <top style="medium">
        <color theme="0"/>
      </top>
      <bottom style="medium">
        <color theme="0"/>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theme="0"/>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style="thin">
        <color auto="1"/>
      </left>
      <right style="medium">
        <color theme="0"/>
      </right>
      <top style="medium">
        <color theme="0"/>
      </top>
      <bottom style="medium">
        <color theme="0"/>
      </bottom>
      <diagonal/>
    </border>
    <border>
      <left style="thin">
        <color auto="1"/>
      </left>
      <right style="thin">
        <color auto="1"/>
      </right>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diagonal/>
    </border>
    <border>
      <left style="medium">
        <color theme="1"/>
      </left>
      <right/>
      <top/>
      <bottom style="medium">
        <color theme="1"/>
      </bottom>
      <diagonal/>
    </border>
    <border>
      <left style="medium">
        <color theme="1"/>
      </left>
      <right/>
      <top style="medium">
        <color theme="1"/>
      </top>
      <bottom/>
      <diagonal/>
    </border>
    <border>
      <left/>
      <right style="medium">
        <color theme="1"/>
      </right>
      <top style="medium">
        <color theme="1"/>
      </top>
      <bottom/>
      <diagonal/>
    </border>
    <border>
      <left/>
      <right style="medium">
        <color theme="1"/>
      </right>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thin">
        <color auto="1"/>
      </left>
      <right/>
      <top style="thin">
        <color auto="1"/>
      </top>
      <bottom/>
      <diagonal/>
    </border>
    <border>
      <left/>
      <right style="thin">
        <color auto="1"/>
      </right>
      <top style="thin">
        <color auto="1"/>
      </top>
      <bottom style="thin">
        <color auto="1"/>
      </bottom>
      <diagonal/>
    </border>
    <border>
      <left style="medium">
        <color theme="1"/>
      </left>
      <right style="medium">
        <color theme="1"/>
      </right>
      <top style="medium">
        <color theme="1"/>
      </top>
      <bottom/>
      <diagonal/>
    </border>
    <border>
      <left/>
      <right/>
      <top style="medium">
        <color theme="0"/>
      </top>
      <bottom style="medium">
        <color theme="0"/>
      </bottom>
      <diagonal/>
    </border>
    <border>
      <left style="thin">
        <color auto="1"/>
      </left>
      <right style="thin">
        <color auto="1"/>
      </right>
      <top/>
      <bottom/>
      <diagonal/>
    </border>
  </borders>
  <cellStyleXfs count="3">
    <xf numFmtId="0" fontId="0" fillId="0" borderId="0"/>
    <xf numFmtId="0" fontId="4" fillId="0" borderId="0"/>
    <xf numFmtId="44" fontId="9" fillId="0" borderId="0" applyFont="0" applyFill="0" applyBorder="0" applyAlignment="0" applyProtection="0"/>
  </cellStyleXfs>
  <cellXfs count="87">
    <xf numFmtId="0" fontId="0" fillId="0" borderId="0" xfId="0"/>
    <xf numFmtId="0" fontId="0" fillId="3" borderId="0" xfId="0" applyFill="1"/>
    <xf numFmtId="0" fontId="1" fillId="4" borderId="2" xfId="0" applyFont="1" applyFill="1" applyBorder="1"/>
    <xf numFmtId="0" fontId="1" fillId="4" borderId="3" xfId="0" applyFont="1" applyFill="1" applyBorder="1"/>
    <xf numFmtId="0" fontId="0" fillId="3" borderId="8" xfId="0" applyFill="1" applyBorder="1"/>
    <xf numFmtId="0" fontId="0" fillId="3" borderId="9" xfId="0" applyFill="1" applyBorder="1"/>
    <xf numFmtId="0" fontId="0" fillId="3" borderId="11" xfId="0" applyFill="1" applyBorder="1"/>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3" borderId="7" xfId="0" applyFill="1" applyBorder="1" applyAlignment="1">
      <alignment horizontal="center" vertical="center"/>
    </xf>
    <xf numFmtId="0" fontId="0" fillId="2" borderId="15" xfId="0" applyFill="1" applyBorder="1" applyAlignment="1">
      <alignment horizontal="center" vertical="center"/>
    </xf>
    <xf numFmtId="0" fontId="0" fillId="3" borderId="10" xfId="0" applyFill="1" applyBorder="1" applyAlignment="1">
      <alignment horizontal="center" vertical="center"/>
    </xf>
    <xf numFmtId="16" fontId="4" fillId="5" borderId="24" xfId="1" applyNumberFormat="1" applyFill="1" applyBorder="1"/>
    <xf numFmtId="44" fontId="1" fillId="4" borderId="2" xfId="0" applyNumberFormat="1" applyFont="1" applyFill="1" applyBorder="1"/>
    <xf numFmtId="44" fontId="4" fillId="5" borderId="23" xfId="1" applyNumberFormat="1" applyFill="1" applyBorder="1" applyAlignment="1">
      <alignment horizontal="center"/>
    </xf>
    <xf numFmtId="0" fontId="0" fillId="0" borderId="22" xfId="0" applyBorder="1"/>
    <xf numFmtId="16" fontId="4" fillId="5" borderId="23" xfId="1" applyNumberFormat="1" applyFill="1" applyBorder="1"/>
    <xf numFmtId="16" fontId="4" fillId="6" borderId="24" xfId="1" applyNumberFormat="1" applyFill="1" applyBorder="1"/>
    <xf numFmtId="16" fontId="4" fillId="6" borderId="30" xfId="1" applyNumberFormat="1" applyFill="1" applyBorder="1" applyAlignment="1">
      <alignment horizontal="center"/>
    </xf>
    <xf numFmtId="44" fontId="4" fillId="5" borderId="30" xfId="1" applyNumberFormat="1" applyFill="1" applyBorder="1" applyAlignment="1">
      <alignment horizontal="center"/>
    </xf>
    <xf numFmtId="16" fontId="4" fillId="6" borderId="23" xfId="1" applyNumberFormat="1" applyFill="1" applyBorder="1" applyAlignment="1">
      <alignment horizontal="center"/>
    </xf>
    <xf numFmtId="0" fontId="0" fillId="3" borderId="33" xfId="0" applyFill="1" applyBorder="1"/>
    <xf numFmtId="0" fontId="0" fillId="3" borderId="34" xfId="0" applyFill="1" applyBorder="1" applyAlignment="1">
      <alignment horizontal="center" vertical="center"/>
    </xf>
    <xf numFmtId="16" fontId="4" fillId="5" borderId="27" xfId="1" applyNumberFormat="1" applyFill="1" applyBorder="1"/>
    <xf numFmtId="44" fontId="4" fillId="5" borderId="27" xfId="1" applyNumberFormat="1" applyFill="1" applyBorder="1" applyAlignment="1">
      <alignment horizontal="center"/>
    </xf>
    <xf numFmtId="44" fontId="4" fillId="5" borderId="25" xfId="1" applyNumberFormat="1" applyFill="1" applyBorder="1" applyAlignment="1">
      <alignment horizontal="center"/>
    </xf>
    <xf numFmtId="44" fontId="4" fillId="5" borderId="35" xfId="1" applyNumberFormat="1" applyFill="1" applyBorder="1" applyAlignment="1">
      <alignment horizontal="center"/>
    </xf>
    <xf numFmtId="14" fontId="0" fillId="3" borderId="9" xfId="0" applyNumberFormat="1" applyFill="1" applyBorder="1"/>
    <xf numFmtId="0" fontId="0" fillId="7" borderId="0" xfId="0" applyFill="1"/>
    <xf numFmtId="0" fontId="0" fillId="3" borderId="37" xfId="0" applyFill="1" applyBorder="1"/>
    <xf numFmtId="14" fontId="0" fillId="3" borderId="8" xfId="0" applyNumberFormat="1" applyFill="1" applyBorder="1"/>
    <xf numFmtId="0" fontId="0" fillId="7" borderId="9" xfId="0" applyFill="1" applyBorder="1"/>
    <xf numFmtId="0" fontId="1" fillId="9" borderId="0" xfId="0" applyFont="1" applyFill="1"/>
    <xf numFmtId="0" fontId="0" fillId="0" borderId="8" xfId="0" applyBorder="1"/>
    <xf numFmtId="164" fontId="12" fillId="10" borderId="8" xfId="2" applyNumberFormat="1" applyFont="1" applyFill="1" applyBorder="1" applyAlignment="1">
      <alignment horizontal="right" vertical="center"/>
    </xf>
    <xf numFmtId="164" fontId="12" fillId="5" borderId="8" xfId="2" applyNumberFormat="1" applyFont="1" applyFill="1" applyBorder="1" applyAlignment="1">
      <alignment horizontal="right" vertical="center"/>
    </xf>
    <xf numFmtId="164" fontId="12" fillId="5" borderId="8" xfId="2" applyNumberFormat="1" applyFont="1" applyFill="1" applyBorder="1" applyAlignment="1">
      <alignment horizontal="center" vertical="center"/>
    </xf>
    <xf numFmtId="0" fontId="10" fillId="0" borderId="8" xfId="0" applyFont="1" applyBorder="1" applyAlignment="1">
      <alignment vertical="center"/>
    </xf>
    <xf numFmtId="0" fontId="0" fillId="0" borderId="8" xfId="0" applyBorder="1" applyAlignment="1">
      <alignment vertical="center"/>
    </xf>
    <xf numFmtId="0" fontId="1" fillId="9" borderId="8" xfId="0" applyFont="1" applyFill="1" applyBorder="1"/>
    <xf numFmtId="0" fontId="5" fillId="2" borderId="1" xfId="0" applyFont="1" applyFill="1" applyBorder="1" applyAlignment="1">
      <alignment horizontal="center" vertical="center"/>
    </xf>
    <xf numFmtId="0" fontId="5" fillId="2" borderId="0" xfId="0" applyFont="1" applyFill="1" applyAlignment="1">
      <alignment horizontal="center" vertical="center"/>
    </xf>
    <xf numFmtId="44" fontId="0" fillId="3" borderId="0" xfId="0" applyNumberFormat="1" applyFill="1" applyAlignment="1">
      <alignment horizontal="center"/>
    </xf>
    <xf numFmtId="0" fontId="0" fillId="3" borderId="0" xfId="0" applyFill="1" applyAlignment="1">
      <alignment horizontal="center"/>
    </xf>
    <xf numFmtId="0" fontId="1" fillId="4" borderId="3" xfId="0" applyFont="1" applyFill="1" applyBorder="1" applyAlignment="1">
      <alignment horizontal="center"/>
    </xf>
    <xf numFmtId="0" fontId="1" fillId="4" borderId="36" xfId="0" applyFont="1" applyFill="1" applyBorder="1" applyAlignment="1">
      <alignment horizontal="center"/>
    </xf>
    <xf numFmtId="0" fontId="1" fillId="4" borderId="6" xfId="0" applyFont="1" applyFill="1" applyBorder="1" applyAlignment="1">
      <alignment horizontal="center"/>
    </xf>
    <xf numFmtId="44" fontId="1" fillId="4" borderId="3" xfId="0" applyNumberFormat="1" applyFont="1" applyFill="1" applyBorder="1" applyAlignment="1">
      <alignment horizontal="center"/>
    </xf>
    <xf numFmtId="0" fontId="8" fillId="2" borderId="27"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28"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2" xfId="0" applyFont="1" applyFill="1" applyBorder="1" applyAlignment="1">
      <alignment horizontal="center" vertical="center"/>
    </xf>
    <xf numFmtId="0" fontId="8" fillId="2" borderId="29" xfId="0" applyFont="1" applyFill="1" applyBorder="1" applyAlignment="1">
      <alignment horizontal="center" vertical="center"/>
    </xf>
    <xf numFmtId="0" fontId="0" fillId="0" borderId="8" xfId="0" applyBorder="1" applyAlignment="1">
      <alignment horizontal="center"/>
    </xf>
    <xf numFmtId="16" fontId="0" fillId="0" borderId="8" xfId="0" applyNumberFormat="1" applyBorder="1" applyAlignment="1">
      <alignment horizontal="center"/>
    </xf>
    <xf numFmtId="0" fontId="2" fillId="0" borderId="27" xfId="0" applyFont="1" applyBorder="1" applyAlignment="1">
      <alignment horizontal="center" vertical="center"/>
    </xf>
    <xf numFmtId="0" fontId="2" fillId="0" borderId="25" xfId="0" applyFont="1" applyBorder="1" applyAlignment="1">
      <alignment horizontal="center" vertical="center"/>
    </xf>
    <xf numFmtId="0" fontId="2" fillId="0" borderId="28" xfId="0" applyFont="1" applyBorder="1" applyAlignment="1">
      <alignment horizontal="center" vertical="center"/>
    </xf>
    <xf numFmtId="0" fontId="2" fillId="0" borderId="26" xfId="0" applyFont="1" applyBorder="1" applyAlignment="1">
      <alignment horizontal="center" vertical="center"/>
    </xf>
    <xf numFmtId="0" fontId="2" fillId="0" borderId="22" xfId="0" applyFont="1" applyBorder="1" applyAlignment="1">
      <alignment horizontal="center" vertical="center"/>
    </xf>
    <xf numFmtId="0" fontId="2" fillId="0" borderId="29" xfId="0" applyFont="1" applyBorder="1" applyAlignment="1">
      <alignment horizontal="center" vertical="center"/>
    </xf>
    <xf numFmtId="44" fontId="2" fillId="0" borderId="27" xfId="0" applyNumberFormat="1" applyFont="1" applyBorder="1" applyAlignment="1">
      <alignment horizontal="center" vertical="center"/>
    </xf>
    <xf numFmtId="0" fontId="3" fillId="0" borderId="27" xfId="0" applyFont="1" applyBorder="1" applyAlignment="1">
      <alignment horizontal="center" vertical="center"/>
    </xf>
    <xf numFmtId="0" fontId="3" fillId="0" borderId="25" xfId="0" applyFont="1" applyBorder="1" applyAlignment="1">
      <alignment horizontal="center" vertical="center"/>
    </xf>
    <xf numFmtId="0" fontId="3" fillId="0" borderId="28" xfId="0" applyFont="1" applyBorder="1" applyAlignment="1">
      <alignment horizontal="center" vertical="center"/>
    </xf>
    <xf numFmtId="0" fontId="3" fillId="0" borderId="26" xfId="0" applyFont="1" applyBorder="1" applyAlignment="1">
      <alignment horizontal="center" vertical="center"/>
    </xf>
    <xf numFmtId="0" fontId="3" fillId="0" borderId="22" xfId="0" applyFont="1" applyBorder="1" applyAlignment="1">
      <alignment horizontal="center" vertical="center"/>
    </xf>
    <xf numFmtId="0" fontId="3" fillId="0" borderId="29" xfId="0" applyFont="1" applyBorder="1" applyAlignment="1">
      <alignment horizontal="center" vertical="center"/>
    </xf>
    <xf numFmtId="0" fontId="7" fillId="2" borderId="16"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0" xfId="0" applyFont="1" applyFill="1" applyAlignment="1">
      <alignment horizontal="center" vertical="center"/>
    </xf>
    <xf numFmtId="0" fontId="7" fillId="2" borderId="18"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8" fillId="2" borderId="31" xfId="0" applyFont="1" applyFill="1" applyBorder="1" applyAlignment="1">
      <alignment horizontal="center" vertical="center"/>
    </xf>
    <xf numFmtId="0" fontId="8" fillId="2" borderId="0" xfId="0" applyFont="1" applyFill="1" applyAlignment="1">
      <alignment horizontal="center" vertical="center"/>
    </xf>
    <xf numFmtId="0" fontId="8" fillId="2" borderId="32" xfId="0" applyFont="1" applyFill="1" applyBorder="1" applyAlignment="1">
      <alignment horizontal="center" vertical="center"/>
    </xf>
    <xf numFmtId="0" fontId="11" fillId="8" borderId="8" xfId="0" applyFont="1" applyFill="1" applyBorder="1" applyAlignment="1">
      <alignment horizontal="center" vertical="center"/>
    </xf>
    <xf numFmtId="0" fontId="10" fillId="0" borderId="8" xfId="0" applyFont="1" applyBorder="1" applyAlignment="1">
      <alignment horizontal="center" vertical="center"/>
    </xf>
    <xf numFmtId="0" fontId="0" fillId="0" borderId="8" xfId="0" applyBorder="1" applyAlignment="1">
      <alignment horizontal="center" vertical="center"/>
    </xf>
    <xf numFmtId="0" fontId="11" fillId="8" borderId="0" xfId="0" applyFont="1" applyFill="1" applyAlignment="1">
      <alignment horizontal="center" vertical="center"/>
    </xf>
    <xf numFmtId="164" fontId="0" fillId="0" borderId="8" xfId="0" applyNumberFormat="1" applyBorder="1" applyAlignment="1">
      <alignment horizontal="center" vertical="center"/>
    </xf>
  </cellXfs>
  <cellStyles count="3">
    <cellStyle name="Currency" xfId="2" builtinId="4"/>
    <cellStyle name="Normal" xfId="0" builtinId="0"/>
    <cellStyle name="Normal 2" xfId="1" xr:uid="{ABAB95C2-E467-48EE-B787-764BEC5B7ECC}"/>
  </cellStyles>
  <dxfs count="27">
    <dxf>
      <numFmt numFmtId="34" formatCode="_-&quot;Rs&quot;* #,##0.00_-;\-&quot;Rs&quot;* #,##0.00_-;_-&quot;Rs&quot;* &quot;-&quot;??_-;_-@_-"/>
      <fill>
        <patternFill patternType="solid">
          <fgColor rgb="FFEEF6FA"/>
          <bgColor rgb="FFF0F8FF"/>
        </patternFill>
      </fill>
      <alignment horizontal="center" vertical="bottom" textRotation="0" wrapText="0" indent="0" justifyLastLine="0" shrinkToFit="0" readingOrder="0"/>
      <border diagonalUp="0" diagonalDown="0">
        <left/>
        <right/>
        <top style="medium">
          <color theme="1"/>
        </top>
        <bottom style="medium">
          <color theme="1"/>
        </bottom>
        <vertical/>
        <horizontal/>
      </border>
    </dxf>
    <dxf>
      <numFmt numFmtId="34" formatCode="_-&quot;Rs&quot;* #,##0.00_-;\-&quot;Rs&quot;* #,##0.00_-;_-&quot;Rs&quot;* &quot;-&quot;??_-;_-@_-"/>
      <fill>
        <patternFill patternType="solid">
          <fgColor rgb="FFEEF6FA"/>
          <bgColor rgb="FFF0F8FF"/>
        </patternFill>
      </fill>
      <alignment horizontal="center" vertical="bottom" textRotation="0" wrapText="0" indent="0" justifyLastLine="0" shrinkToFit="0" readingOrder="0"/>
      <border diagonalUp="0" diagonalDown="0">
        <left style="medium">
          <color theme="1"/>
        </left>
        <right/>
        <top style="medium">
          <color theme="1"/>
        </top>
        <bottom style="medium">
          <color theme="1"/>
        </bottom>
        <vertical/>
        <horizontal/>
      </border>
    </dxf>
    <dxf>
      <numFmt numFmtId="21" formatCode="dd\-mmm"/>
      <fill>
        <patternFill patternType="solid">
          <fgColor rgb="FFEEF6FA"/>
          <bgColor rgb="FFF0F8FF"/>
        </patternFill>
      </fill>
      <border diagonalUp="0" diagonalDown="0">
        <left style="medium">
          <color theme="1"/>
        </left>
        <right/>
        <top style="medium">
          <color theme="1"/>
        </top>
        <bottom style="medium">
          <color theme="1"/>
        </bottom>
        <vertical/>
        <horizontal/>
      </border>
    </dxf>
    <dxf>
      <border outline="0">
        <top style="medium">
          <color theme="1"/>
        </top>
      </border>
    </dxf>
    <dxf>
      <border outline="0">
        <top style="medium">
          <color theme="1"/>
        </top>
      </border>
    </dxf>
    <dxf>
      <border>
        <bottom style="medium">
          <color theme="1"/>
        </bottom>
      </border>
    </dxf>
    <dxf>
      <numFmt numFmtId="0" formatCode="General"/>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numFmt numFmtId="0" formatCode="General"/>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horizontal/>
      </border>
    </dxf>
    <dxf>
      <fill>
        <patternFill patternType="solid">
          <fgColor indexed="64"/>
          <bgColor rgb="FFD9E1F2"/>
        </patternFill>
      </fill>
      <border diagonalUp="0" diagonalDown="0">
        <left style="thin">
          <color auto="1"/>
        </left>
        <right/>
        <top style="thin">
          <color auto="1"/>
        </top>
        <bottom style="thin">
          <color auto="1"/>
        </bottom>
        <vertical/>
        <horizontal/>
      </border>
    </dxf>
    <dxf>
      <numFmt numFmtId="0" formatCode="General"/>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style="thin">
          <color auto="1"/>
        </right>
        <top/>
        <bottom/>
        <vertical/>
        <horizontal/>
      </border>
    </dxf>
    <dxf>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solid">
          <fgColor indexed="64"/>
          <bgColor rgb="FFD9E1F2"/>
        </patternFill>
      </fill>
      <border diagonalUp="0" diagonalDown="0">
        <left style="thin">
          <color auto="1"/>
        </left>
        <right/>
        <top style="thin">
          <color auto="1"/>
        </top>
        <bottom style="thin">
          <color auto="1"/>
        </bottom>
        <vertical/>
        <horizontal/>
      </border>
    </dxf>
    <dxf>
      <fill>
        <patternFill patternType="solid">
          <fgColor indexed="64"/>
          <bgColor rgb="FFD9E1F2"/>
        </patternFill>
      </fill>
      <alignment horizontal="center" vertical="center" textRotation="0" wrapText="0" indent="0" justifyLastLine="0" shrinkToFit="0" readingOrder="0"/>
      <border diagonalUp="0" diagonalDown="0" outline="0">
        <left/>
        <right style="thin">
          <color auto="1"/>
        </right>
        <top style="thin">
          <color auto="1"/>
        </top>
        <bottom style="thin">
          <color auto="1"/>
        </bottom>
      </border>
    </dxf>
    <dxf>
      <fill>
        <patternFill patternType="solid">
          <fgColor indexed="64"/>
          <bgColor rgb="FFD9E1F2"/>
        </patternFill>
      </fill>
    </dxf>
    <dxf>
      <border>
        <bottom style="medium">
          <color theme="0"/>
        </bottom>
      </border>
    </dxf>
    <dxf>
      <fill>
        <patternFill patternType="solid">
          <fgColor indexed="64"/>
          <bgColor rgb="FF1F4E78"/>
        </patternFill>
      </fill>
      <alignment horizontal="center" vertical="center" textRotation="0" wrapText="0" indent="0" justifyLastLine="0" shrinkToFit="0" readingOrder="0"/>
      <border diagonalUp="0" diagonalDown="0">
        <left style="thin">
          <color auto="1"/>
        </left>
        <right style="thin">
          <color auto="1"/>
        </right>
        <top/>
        <bottom/>
        <vertical style="thin">
          <color auto="1"/>
        </vertical>
        <horizontal/>
      </border>
    </dxf>
    <dxf>
      <fill>
        <patternFill>
          <bgColor theme="3" tint="9.9948118533890809E-2"/>
        </patternFill>
      </fill>
    </dxf>
  </dxfs>
  <tableStyles count="1" defaultTableStyle="TableStyleMedium2" defaultPivotStyle="PivotStyleLight16">
    <tableStyle name="Slicer Style 1" pivot="0" table="0" count="2" xr9:uid="{93489D57-111D-4320-B88C-9E4F7C380F51}">
      <tableStyleElement type="headerRow" dxfId="26"/>
    </tableStyle>
  </tableStyles>
  <colors>
    <mruColors>
      <color rgb="FF1F4E78"/>
      <color rgb="FFD9E1F2"/>
    </mruColors>
  </colors>
  <extLst>
    <ext xmlns:x14="http://schemas.microsoft.com/office/spreadsheetml/2009/9/main" uri="{46F421CA-312F-682f-3DD2-61675219B42D}">
      <x14:dxfs count="1">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394253</xdr:colOff>
      <xdr:row>1</xdr:row>
      <xdr:rowOff>19050</xdr:rowOff>
    </xdr:from>
    <xdr:to>
      <xdr:col>3</xdr:col>
      <xdr:colOff>784778</xdr:colOff>
      <xdr:row>1</xdr:row>
      <xdr:rowOff>180975</xdr:rowOff>
    </xdr:to>
    <xdr:sp macro="" textlink="">
      <xdr:nvSpPr>
        <xdr:cNvPr id="2" name="Arrow: Pentagon 1">
          <a:extLst>
            <a:ext uri="{FF2B5EF4-FFF2-40B4-BE49-F238E27FC236}">
              <a16:creationId xmlns:a16="http://schemas.microsoft.com/office/drawing/2014/main" id="{80C4F1BB-D764-8CE2-715D-CD99D771EA5B}"/>
            </a:ext>
          </a:extLst>
        </xdr:cNvPr>
        <xdr:cNvSpPr/>
      </xdr:nvSpPr>
      <xdr:spPr>
        <a:xfrm>
          <a:off x="3699428" y="209550"/>
          <a:ext cx="390525" cy="161925"/>
        </a:xfrm>
        <a:prstGeom prst="homePlate">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28575</xdr:colOff>
      <xdr:row>0</xdr:row>
      <xdr:rowOff>22412</xdr:rowOff>
    </xdr:from>
    <xdr:to>
      <xdr:col>0</xdr:col>
      <xdr:colOff>739588</xdr:colOff>
      <xdr:row>2</xdr:row>
      <xdr:rowOff>180975</xdr:rowOff>
    </xdr:to>
    <xdr:sp macro="" textlink="">
      <xdr:nvSpPr>
        <xdr:cNvPr id="4" name="Right Triangle 3">
          <a:extLst>
            <a:ext uri="{FF2B5EF4-FFF2-40B4-BE49-F238E27FC236}">
              <a16:creationId xmlns:a16="http://schemas.microsoft.com/office/drawing/2014/main" id="{F41AD260-5306-7CF1-EC92-497ED28AABF4}"/>
            </a:ext>
          </a:extLst>
        </xdr:cNvPr>
        <xdr:cNvSpPr/>
      </xdr:nvSpPr>
      <xdr:spPr>
        <a:xfrm>
          <a:off x="28575" y="22412"/>
          <a:ext cx="711013" cy="539563"/>
        </a:xfrm>
        <a:prstGeom prst="rtTriangle">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834837</xdr:colOff>
      <xdr:row>0</xdr:row>
      <xdr:rowOff>0</xdr:rowOff>
    </xdr:from>
    <xdr:to>
      <xdr:col>13</xdr:col>
      <xdr:colOff>1223752</xdr:colOff>
      <xdr:row>2</xdr:row>
      <xdr:rowOff>134471</xdr:rowOff>
    </xdr:to>
    <xdr:sp macro="" textlink="">
      <xdr:nvSpPr>
        <xdr:cNvPr id="5" name="Right Triangle 4">
          <a:extLst>
            <a:ext uri="{FF2B5EF4-FFF2-40B4-BE49-F238E27FC236}">
              <a16:creationId xmlns:a16="http://schemas.microsoft.com/office/drawing/2014/main" id="{B996D5C4-0D70-78C9-3E81-2710644E33A1}"/>
            </a:ext>
          </a:extLst>
        </xdr:cNvPr>
        <xdr:cNvSpPr/>
      </xdr:nvSpPr>
      <xdr:spPr>
        <a:xfrm rot="10800000">
          <a:off x="13298980" y="0"/>
          <a:ext cx="1273379" cy="515471"/>
        </a:xfrm>
        <a:prstGeom prst="rtTriangle">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529200</xdr:colOff>
      <xdr:row>1</xdr:row>
      <xdr:rowOff>24374</xdr:rowOff>
    </xdr:from>
    <xdr:to>
      <xdr:col>10</xdr:col>
      <xdr:colOff>923038</xdr:colOff>
      <xdr:row>2</xdr:row>
      <xdr:rowOff>13606</xdr:rowOff>
    </xdr:to>
    <xdr:sp macro="" textlink="">
      <xdr:nvSpPr>
        <xdr:cNvPr id="6" name="Arrow: Pentagon 5">
          <a:extLst>
            <a:ext uri="{FF2B5EF4-FFF2-40B4-BE49-F238E27FC236}">
              <a16:creationId xmlns:a16="http://schemas.microsoft.com/office/drawing/2014/main" id="{F362FD16-BD49-61FF-40E5-A94BA481EE82}"/>
            </a:ext>
          </a:extLst>
        </xdr:cNvPr>
        <xdr:cNvSpPr/>
      </xdr:nvSpPr>
      <xdr:spPr>
        <a:xfrm rot="10800000">
          <a:off x="8938414" y="214874"/>
          <a:ext cx="393838" cy="179732"/>
        </a:xfrm>
        <a:prstGeom prst="homePlate">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24</xdr:col>
      <xdr:colOff>559225</xdr:colOff>
      <xdr:row>109</xdr:row>
      <xdr:rowOff>122783</xdr:rowOff>
    </xdr:from>
    <xdr:to>
      <xdr:col>27</xdr:col>
      <xdr:colOff>553220</xdr:colOff>
      <xdr:row>123</xdr:row>
      <xdr:rowOff>109714</xdr:rowOff>
    </xdr:to>
    <mc:AlternateContent xmlns:mc="http://schemas.openxmlformats.org/markup-compatibility/2006" xmlns:sle15="http://schemas.microsoft.com/office/drawing/2012/slicer">
      <mc:Choice Requires="sle15">
        <xdr:graphicFrame macro="">
          <xdr:nvGraphicFramePr>
            <xdr:cNvPr id="7" name="SUBJECT">
              <a:extLst>
                <a:ext uri="{FF2B5EF4-FFF2-40B4-BE49-F238E27FC236}">
                  <a16:creationId xmlns:a16="http://schemas.microsoft.com/office/drawing/2014/main" id="{D821110C-A83E-011F-A3CA-962D57A67D53}"/>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mlns="">
        <xdr:sp macro="" textlink="">
          <xdr:nvSpPr>
            <xdr:cNvPr id="0" name=""/>
            <xdr:cNvSpPr>
              <a:spLocks noTextEdit="1"/>
            </xdr:cNvSpPr>
          </xdr:nvSpPr>
          <xdr:spPr>
            <a:xfrm>
              <a:off x="20081989" y="3038350"/>
              <a:ext cx="1812406" cy="2653931"/>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24</xdr:col>
      <xdr:colOff>531292</xdr:colOff>
      <xdr:row>1</xdr:row>
      <xdr:rowOff>167127</xdr:rowOff>
    </xdr:from>
    <xdr:to>
      <xdr:col>27</xdr:col>
      <xdr:colOff>530331</xdr:colOff>
      <xdr:row>109</xdr:row>
      <xdr:rowOff>118462</xdr:rowOff>
    </xdr:to>
    <mc:AlternateContent xmlns:mc="http://schemas.openxmlformats.org/markup-compatibility/2006" xmlns:sle15="http://schemas.microsoft.com/office/drawing/2012/slicer">
      <mc:Choice Requires="sle15">
        <xdr:graphicFrame macro="">
          <xdr:nvGraphicFramePr>
            <xdr:cNvPr id="8" name="STATUS">
              <a:extLst>
                <a:ext uri="{FF2B5EF4-FFF2-40B4-BE49-F238E27FC236}">
                  <a16:creationId xmlns:a16="http://schemas.microsoft.com/office/drawing/2014/main" id="{4E66DC64-AB1D-3DE4-9E4A-4EF12640B4E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0054056" y="357627"/>
              <a:ext cx="1817450" cy="2676402"/>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0</xdr:rowOff>
    </xdr:from>
    <xdr:to>
      <xdr:col>0</xdr:col>
      <xdr:colOff>571500</xdr:colOff>
      <xdr:row>2</xdr:row>
      <xdr:rowOff>180975</xdr:rowOff>
    </xdr:to>
    <xdr:sp macro="" textlink="">
      <xdr:nvSpPr>
        <xdr:cNvPr id="2" name="Right Triangle 1">
          <a:extLst>
            <a:ext uri="{FF2B5EF4-FFF2-40B4-BE49-F238E27FC236}">
              <a16:creationId xmlns:a16="http://schemas.microsoft.com/office/drawing/2014/main" id="{C7F97B2A-A6A0-9411-61CD-FD230BBE1878}"/>
            </a:ext>
          </a:extLst>
        </xdr:cNvPr>
        <xdr:cNvSpPr/>
      </xdr:nvSpPr>
      <xdr:spPr>
        <a:xfrm>
          <a:off x="28575" y="0"/>
          <a:ext cx="542925" cy="561975"/>
        </a:xfrm>
        <a:prstGeom prst="rtTriangle">
          <a:avLst/>
        </a:prstGeom>
        <a:solidFill>
          <a:schemeClr val="bg1"/>
        </a:solidFill>
        <a:ln>
          <a:solidFill>
            <a:srgbClr val="1F4E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19</xdr:col>
      <xdr:colOff>57149</xdr:colOff>
      <xdr:row>0</xdr:row>
      <xdr:rowOff>19050</xdr:rowOff>
    </xdr:from>
    <xdr:to>
      <xdr:col>19</xdr:col>
      <xdr:colOff>600074</xdr:colOff>
      <xdr:row>2</xdr:row>
      <xdr:rowOff>171450</xdr:rowOff>
    </xdr:to>
    <xdr:sp macro="" textlink="">
      <xdr:nvSpPr>
        <xdr:cNvPr id="3" name="Right Triangle 2">
          <a:extLst>
            <a:ext uri="{FF2B5EF4-FFF2-40B4-BE49-F238E27FC236}">
              <a16:creationId xmlns:a16="http://schemas.microsoft.com/office/drawing/2014/main" id="{F375249F-33E3-E509-FEF1-BCD5DD82C148}"/>
            </a:ext>
          </a:extLst>
        </xdr:cNvPr>
        <xdr:cNvSpPr/>
      </xdr:nvSpPr>
      <xdr:spPr>
        <a:xfrm rot="10800000">
          <a:off x="11639549" y="19050"/>
          <a:ext cx="542925" cy="533400"/>
        </a:xfrm>
        <a:prstGeom prst="rtTriangle">
          <a:avLst/>
        </a:prstGeom>
        <a:solidFill>
          <a:schemeClr val="bg1"/>
        </a:solidFill>
        <a:ln>
          <a:solidFill>
            <a:srgbClr val="1F4E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4</xdr:col>
      <xdr:colOff>295274</xdr:colOff>
      <xdr:row>0</xdr:row>
      <xdr:rowOff>142875</xdr:rowOff>
    </xdr:from>
    <xdr:to>
      <xdr:col>5</xdr:col>
      <xdr:colOff>428625</xdr:colOff>
      <xdr:row>2</xdr:row>
      <xdr:rowOff>76200</xdr:rowOff>
    </xdr:to>
    <xdr:grpSp>
      <xdr:nvGrpSpPr>
        <xdr:cNvPr id="15" name="Group 14">
          <a:extLst>
            <a:ext uri="{FF2B5EF4-FFF2-40B4-BE49-F238E27FC236}">
              <a16:creationId xmlns:a16="http://schemas.microsoft.com/office/drawing/2014/main" id="{794D53AF-6AA7-6CA5-B6A3-1F29AC2DA4CE}"/>
            </a:ext>
          </a:extLst>
        </xdr:cNvPr>
        <xdr:cNvGrpSpPr/>
      </xdr:nvGrpSpPr>
      <xdr:grpSpPr>
        <a:xfrm>
          <a:off x="3933824" y="142875"/>
          <a:ext cx="742951" cy="314325"/>
          <a:chOff x="3933824" y="142875"/>
          <a:chExt cx="742951" cy="314325"/>
        </a:xfrm>
      </xdr:grpSpPr>
      <xdr:sp macro="" textlink="">
        <xdr:nvSpPr>
          <xdr:cNvPr id="4" name="Block Arc 3">
            <a:extLst>
              <a:ext uri="{FF2B5EF4-FFF2-40B4-BE49-F238E27FC236}">
                <a16:creationId xmlns:a16="http://schemas.microsoft.com/office/drawing/2014/main" id="{CA8E34A6-2A0C-8156-192E-26220FD751AC}"/>
              </a:ext>
            </a:extLst>
          </xdr:cNvPr>
          <xdr:cNvSpPr/>
        </xdr:nvSpPr>
        <xdr:spPr>
          <a:xfrm>
            <a:off x="3933824" y="196540"/>
            <a:ext cx="434903" cy="260660"/>
          </a:xfrm>
          <a:prstGeom prst="blockArc">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sp macro="" textlink="">
        <xdr:nvSpPr>
          <xdr:cNvPr id="8" name="Block Arc 7">
            <a:extLst>
              <a:ext uri="{FF2B5EF4-FFF2-40B4-BE49-F238E27FC236}">
                <a16:creationId xmlns:a16="http://schemas.microsoft.com/office/drawing/2014/main" id="{8D3514CC-F039-873C-C80D-C2FC706D0255}"/>
              </a:ext>
            </a:extLst>
          </xdr:cNvPr>
          <xdr:cNvSpPr/>
        </xdr:nvSpPr>
        <xdr:spPr>
          <a:xfrm rot="10800000">
            <a:off x="4241872" y="142875"/>
            <a:ext cx="434903" cy="260660"/>
          </a:xfrm>
          <a:prstGeom prst="blockArc">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grpSp>
    <xdr:clientData/>
  </xdr:twoCellAnchor>
  <xdr:twoCellAnchor>
    <xdr:from>
      <xdr:col>12</xdr:col>
      <xdr:colOff>457199</xdr:colOff>
      <xdr:row>0</xdr:row>
      <xdr:rowOff>142875</xdr:rowOff>
    </xdr:from>
    <xdr:to>
      <xdr:col>14</xdr:col>
      <xdr:colOff>19050</xdr:colOff>
      <xdr:row>2</xdr:row>
      <xdr:rowOff>76200</xdr:rowOff>
    </xdr:to>
    <xdr:grpSp>
      <xdr:nvGrpSpPr>
        <xdr:cNvPr id="10" name="Group 9">
          <a:extLst>
            <a:ext uri="{FF2B5EF4-FFF2-40B4-BE49-F238E27FC236}">
              <a16:creationId xmlns:a16="http://schemas.microsoft.com/office/drawing/2014/main" id="{9A73B44D-9454-A331-8B4D-87841E29C91E}"/>
            </a:ext>
          </a:extLst>
        </xdr:cNvPr>
        <xdr:cNvGrpSpPr/>
      </xdr:nvGrpSpPr>
      <xdr:grpSpPr>
        <a:xfrm>
          <a:off x="8972549" y="142875"/>
          <a:ext cx="781051" cy="314325"/>
          <a:chOff x="3619500" y="142875"/>
          <a:chExt cx="838200" cy="390525"/>
        </a:xfrm>
      </xdr:grpSpPr>
      <xdr:sp macro="" textlink="">
        <xdr:nvSpPr>
          <xdr:cNvPr id="11" name="Block Arc 10">
            <a:extLst>
              <a:ext uri="{FF2B5EF4-FFF2-40B4-BE49-F238E27FC236}">
                <a16:creationId xmlns:a16="http://schemas.microsoft.com/office/drawing/2014/main" id="{3B8C592B-A492-5E5F-18B2-0F8C668C52E6}"/>
              </a:ext>
            </a:extLst>
          </xdr:cNvPr>
          <xdr:cNvSpPr/>
        </xdr:nvSpPr>
        <xdr:spPr>
          <a:xfrm>
            <a:off x="3619500" y="209550"/>
            <a:ext cx="466725" cy="323850"/>
          </a:xfrm>
          <a:prstGeom prst="blockArc">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sp macro="" textlink="">
        <xdr:nvSpPr>
          <xdr:cNvPr id="12" name="Block Arc 11">
            <a:extLst>
              <a:ext uri="{FF2B5EF4-FFF2-40B4-BE49-F238E27FC236}">
                <a16:creationId xmlns:a16="http://schemas.microsoft.com/office/drawing/2014/main" id="{934831CA-C661-DD1E-B46A-59E19A05D4AC}"/>
              </a:ext>
            </a:extLst>
          </xdr:cNvPr>
          <xdr:cNvSpPr/>
        </xdr:nvSpPr>
        <xdr:spPr>
          <a:xfrm rot="10800000">
            <a:off x="3990975" y="142875"/>
            <a:ext cx="466725" cy="323850"/>
          </a:xfrm>
          <a:prstGeom prst="blockArc">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grpSp>
    <xdr:clientData/>
  </xdr:twoCellAnchor>
  <xdr:twoCellAnchor>
    <xdr:from>
      <xdr:col>14</xdr:col>
      <xdr:colOff>161925</xdr:colOff>
      <xdr:row>0</xdr:row>
      <xdr:rowOff>171450</xdr:rowOff>
    </xdr:from>
    <xdr:to>
      <xdr:col>14</xdr:col>
      <xdr:colOff>533400</xdr:colOff>
      <xdr:row>2</xdr:row>
      <xdr:rowOff>38100</xdr:rowOff>
    </xdr:to>
    <xdr:sp macro="" textlink="">
      <xdr:nvSpPr>
        <xdr:cNvPr id="13" name="Star: 4 Points 12">
          <a:extLst>
            <a:ext uri="{FF2B5EF4-FFF2-40B4-BE49-F238E27FC236}">
              <a16:creationId xmlns:a16="http://schemas.microsoft.com/office/drawing/2014/main" id="{0DCD0547-6F51-BBF9-4812-56E22AE3B368}"/>
            </a:ext>
          </a:extLst>
        </xdr:cNvPr>
        <xdr:cNvSpPr/>
      </xdr:nvSpPr>
      <xdr:spPr>
        <a:xfrm>
          <a:off x="8696325" y="171450"/>
          <a:ext cx="371475" cy="247650"/>
        </a:xfrm>
        <a:prstGeom prst="star4">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333375</xdr:colOff>
      <xdr:row>0</xdr:row>
      <xdr:rowOff>133350</xdr:rowOff>
    </xdr:from>
    <xdr:to>
      <xdr:col>4</xdr:col>
      <xdr:colOff>171450</xdr:colOff>
      <xdr:row>2</xdr:row>
      <xdr:rowOff>66675</xdr:rowOff>
    </xdr:to>
    <xdr:sp macro="" textlink="">
      <xdr:nvSpPr>
        <xdr:cNvPr id="14" name="Star: 4 Points 13">
          <a:extLst>
            <a:ext uri="{FF2B5EF4-FFF2-40B4-BE49-F238E27FC236}">
              <a16:creationId xmlns:a16="http://schemas.microsoft.com/office/drawing/2014/main" id="{2CE1D730-6DBB-5A04-3B5E-C5D0DC0C2625}"/>
            </a:ext>
          </a:extLst>
        </xdr:cNvPr>
        <xdr:cNvSpPr/>
      </xdr:nvSpPr>
      <xdr:spPr>
        <a:xfrm>
          <a:off x="3362325" y="133350"/>
          <a:ext cx="447675" cy="314325"/>
        </a:xfrm>
        <a:prstGeom prst="star4">
          <a:avLst>
            <a:gd name="adj" fmla="val 8654"/>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absolute">
    <xdr:from>
      <xdr:col>15</xdr:col>
      <xdr:colOff>295275</xdr:colOff>
      <xdr:row>4</xdr:row>
      <xdr:rowOff>123825</xdr:rowOff>
    </xdr:from>
    <xdr:to>
      <xdr:col>18</xdr:col>
      <xdr:colOff>295275</xdr:colOff>
      <xdr:row>18</xdr:row>
      <xdr:rowOff>0</xdr:rowOff>
    </xdr:to>
    <mc:AlternateContent xmlns:mc="http://schemas.openxmlformats.org/markup-compatibility/2006" xmlns:sle15="http://schemas.microsoft.com/office/drawing/2012/slicer">
      <mc:Choice Requires="sle15">
        <xdr:graphicFrame macro="">
          <xdr:nvGraphicFramePr>
            <xdr:cNvPr id="16" name="TEACHER">
              <a:extLst>
                <a:ext uri="{FF2B5EF4-FFF2-40B4-BE49-F238E27FC236}">
                  <a16:creationId xmlns:a16="http://schemas.microsoft.com/office/drawing/2014/main" id="{22FB5825-EAB7-D91F-082C-F1217B36124B}"/>
                </a:ext>
              </a:extLst>
            </xdr:cNvPr>
            <xdr:cNvGraphicFramePr/>
          </xdr:nvGraphicFramePr>
          <xdr:xfrm>
            <a:off x="0" y="0"/>
            <a:ext cx="0" cy="0"/>
          </xdr:xfrm>
          <a:graphic>
            <a:graphicData uri="http://schemas.microsoft.com/office/drawing/2010/slicer">
              <sle:slicer xmlns:sle="http://schemas.microsoft.com/office/drawing/2010/slicer" name="TEACHER"/>
            </a:graphicData>
          </a:graphic>
        </xdr:graphicFrame>
      </mc:Choice>
      <mc:Fallback xmlns="">
        <xdr:sp macro="" textlink="">
          <xdr:nvSpPr>
            <xdr:cNvPr id="0" name=""/>
            <xdr:cNvSpPr>
              <a:spLocks noTextEdit="1"/>
            </xdr:cNvSpPr>
          </xdr:nvSpPr>
          <xdr:spPr>
            <a:xfrm>
              <a:off x="10639425" y="89535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E0683D9B-759E-48BA-B551-24BE08FEDE10}" sourceName="SUBJECT">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8394483-723B-40A7-A61F-2931F35F11CE}" sourceName="STATUS">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CHER" xr10:uid="{DA49CE13-4722-4809-BF73-D7CEF1A7AC33}" sourceName="TEACHER">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B36BE137-55C5-4C1B-A1CC-D38A8BE65FB8}" cache="Slicer_SUBJECT" caption="SUBJECT" startItem="1" rowHeight="257175"/>
  <slicer name="STATUS" xr10:uid="{155B383C-37DE-4F26-A658-CD5E6C9819E2}" cache="Slicer_STATUS" caption="STATUS"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CHER" xr10:uid="{FEF4E01B-050D-4D10-AB16-B2FE8ABDCAD5}" cache="Slicer_TEACHER" caption="TEACHE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BA19E1-60CA-4E80-B557-D9861B2D27D4}" name="Table1" displayName="Table1" ref="A7:Q102" totalsRowShown="0" headerRowDxfId="25" dataDxfId="23" headerRowBorderDxfId="24">
  <autoFilter ref="A7:Q102" xr:uid="{8ABA19E1-60CA-4E80-B557-D9861B2D27D4}">
    <filterColumn colId="0" hiddenButton="1"/>
    <filterColumn colId="1" hiddenButton="1"/>
    <filterColumn colId="2" hiddenButton="1"/>
    <filterColumn colId="3" hiddenButton="1">
      <filters>
        <filter val="UI_UX"/>
      </filters>
    </filterColumn>
    <filterColumn colId="4" hiddenButton="1"/>
    <filterColumn colId="5" hiddenButton="1"/>
    <filterColumn colId="6" hiddenButton="1"/>
    <filterColumn colId="7" hiddenButton="1"/>
    <filterColumn colId="8" hiddenButton="1">
      <filters>
        <filter val="Partial Paid"/>
      </filters>
    </filterColumn>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sortState xmlns:xlrd2="http://schemas.microsoft.com/office/spreadsheetml/2017/richdata2" ref="A9:Q26">
    <sortCondition ref="Q8:Q95"/>
  </sortState>
  <tableColumns count="17">
    <tableColumn id="1" xr3:uid="{B5E35FCF-A4FD-4C53-96A8-2461E9FC22FF}" name="2" dataDxfId="22"/>
    <tableColumn id="2" xr3:uid="{4A0626EE-E349-4795-B0F6-4CBC92130B43}" name="NAME" dataDxfId="21">
      <calculatedColumnFormula>PROPER(Table1[[#This Row],[NAME]])</calculatedColumnFormula>
    </tableColumn>
    <tableColumn id="3" xr3:uid="{0B9887BA-7661-4619-B726-436FA5E16399}" name="FATHER NAME" dataDxfId="20"/>
    <tableColumn id="4" xr3:uid="{7FD22109-DD49-4911-B375-6C6B2B9F37FB}" name="SUBJECT" dataDxfId="19"/>
    <tableColumn id="18" xr3:uid="{4BC41F0A-5513-4686-ABF2-7EFFA755915E}" name="classes" dataDxfId="18"/>
    <tableColumn id="5" xr3:uid="{6C3E998B-3511-4B67-9B78-8748D5A2CDB5}" name="TOTAL FEE" dataDxfId="17"/>
    <tableColumn id="6" xr3:uid="{87EBB8AF-AD7E-4DD1-9FFD-880AA1F6EDE3}" name="PAID" dataDxfId="16"/>
    <tableColumn id="7" xr3:uid="{FC4D174E-2161-40D8-B6F8-9B57CF1BD51C}" name="BALANCE" dataDxfId="15">
      <calculatedColumnFormula>Table1[[#This Row],[TOTAL FEE]]-Table1[[#This Row],[PAID]]</calculatedColumnFormula>
    </tableColumn>
    <tableColumn id="8" xr3:uid="{278A7AFC-E737-4732-B7A9-C82034D28E3D}" name="STATUS" dataDxfId="14">
      <calculatedColumnFormula>IF(G8&lt;1, "Unpaid", IF(G8&lt;F8, "Partial Paid", "Paid"))</calculatedColumnFormula>
    </tableColumn>
    <tableColumn id="9" xr3:uid="{AB5904AB-08BA-4E6C-B369-30DD1D542465}" name="CONTACT" dataDxfId="13"/>
    <tableColumn id="10" xr3:uid="{A0325058-5599-4D2C-AEEE-C93BB3811E06}" name="REGESTRATION" dataDxfId="12"/>
    <tableColumn id="12" xr3:uid="{D9AF74D0-BD1F-4A52-AB31-01159FE373BA}" name="DMC VERYFICATION" dataDxfId="11"/>
    <tableColumn id="13" xr3:uid="{19474359-5A16-4704-9CBE-6BC9336F0709}" name="ADMISION" dataDxfId="10"/>
    <tableColumn id="14" xr3:uid="{A06A876A-83CB-4194-917D-8AA97C9B2EB4}" name="MONTHLY FEE" dataDxfId="9"/>
    <tableColumn id="15" xr3:uid="{A73505D9-18E3-46D0-BCB3-2420382AD646}" name="EXAMINATION" dataDxfId="8"/>
    <tableColumn id="16" xr3:uid="{6ACD12C4-F948-4E14-855C-13A566C93E85}" name="TOTAL" dataDxfId="7">
      <calculatedColumnFormula>SUM(Table1[[#This Row],[REGESTRATION]:[MONTHLY FEE]])</calculatedColumnFormula>
    </tableColumn>
    <tableColumn id="11" xr3:uid="{19081D21-166B-4ABF-A3EF-2B7E6FD98CD0}" name="Date Of Admition"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6978C3-399E-43D3-B338-40368C173692}" name="Table2" displayName="Table2" ref="A8:C36" totalsRowShown="0" headerRowBorderDxfId="5" tableBorderDxfId="4" totalsRowBorderDxfId="3">
  <autoFilter ref="A8:C36" xr:uid="{9E6978C3-399E-43D3-B338-40368C173692}">
    <filterColumn colId="0" hiddenButton="1"/>
    <filterColumn colId="1" hiddenButton="1"/>
    <filterColumn colId="2" hiddenButton="1">
      <filters>
        <filter val="SIR QASIM"/>
      </filters>
    </filterColumn>
  </autoFilter>
  <tableColumns count="3">
    <tableColumn id="1" xr3:uid="{47858B25-DE50-4066-B711-1B093A3E506E}" name="PAYMENT DATE" dataDxfId="2" dataCellStyle="Normal 2"/>
    <tableColumn id="2" xr3:uid="{CEE08DBC-E905-4962-B766-91441318F90A}" name="AMOUNT" dataDxfId="1" dataCellStyle="Normal 2"/>
    <tableColumn id="3" xr3:uid="{CF19E359-0E56-4708-909F-1626F55CED2F}" name="TEACHER"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A4E2A-09A6-4A54-A39C-527303762185}">
  <we:reference id="wa200005502" version="1.0.0.13" store="en-US" storeType="OMEX"/>
  <we:alternateReferences>
    <we:reference id="WA200005502" version="1.0.0.13" store="" storeType="OMEX"/>
  </we:alternateReferences>
  <we:properties>
    <we:property name="docId" value="&quot;K4Glu1cm5Nx_V9ZCuxL4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9951-5A34-4EA0-A0B5-D5BC0FFFAEA9}">
  <sheetPr>
    <pageSetUpPr fitToPage="1"/>
  </sheetPr>
  <dimension ref="A1:Q109"/>
  <sheetViews>
    <sheetView tabSelected="1" zoomScale="85" zoomScaleNormal="85" workbookViewId="0">
      <selection activeCell="N18" sqref="N18"/>
    </sheetView>
  </sheetViews>
  <sheetFormatPr defaultRowHeight="15" x14ac:dyDescent="0.25"/>
  <cols>
    <col min="1" max="1" width="9.85546875" bestFit="1" customWidth="1"/>
    <col min="2" max="2" width="19.5703125" bestFit="1" customWidth="1"/>
    <col min="3" max="3" width="19.140625" customWidth="1"/>
    <col min="4" max="4" width="15.28515625" bestFit="1" customWidth="1"/>
    <col min="5" max="5" width="10.28515625" bestFit="1" customWidth="1"/>
    <col min="6" max="6" width="9.28515625" customWidth="1"/>
    <col min="7" max="7" width="10" customWidth="1"/>
    <col min="8" max="8" width="11" customWidth="1"/>
    <col min="9" max="9" width="11.5703125" customWidth="1"/>
    <col min="10" max="10" width="15.5703125" customWidth="1"/>
    <col min="11" max="11" width="15.140625" bestFit="1" customWidth="1"/>
    <col min="12" max="12" width="18" customWidth="1"/>
    <col min="13" max="13" width="10.28515625" bestFit="1" customWidth="1"/>
    <col min="14" max="14" width="13.85546875" bestFit="1" customWidth="1"/>
    <col min="15" max="15" width="13.7109375" bestFit="1" customWidth="1"/>
    <col min="17" max="17" width="16.5703125" bestFit="1" customWidth="1"/>
  </cols>
  <sheetData>
    <row r="1" spans="1:17" ht="15" customHeight="1" x14ac:dyDescent="0.25">
      <c r="A1" s="41" t="s">
        <v>0</v>
      </c>
      <c r="B1" s="42"/>
      <c r="C1" s="42"/>
      <c r="D1" s="42"/>
      <c r="E1" s="42"/>
      <c r="F1" s="42"/>
      <c r="G1" s="42"/>
      <c r="H1" s="42"/>
      <c r="I1" s="42"/>
      <c r="J1" s="42"/>
      <c r="K1" s="42"/>
      <c r="L1" s="42"/>
      <c r="M1" s="42"/>
      <c r="N1" s="42"/>
    </row>
    <row r="2" spans="1:17" ht="15" customHeight="1" x14ac:dyDescent="0.25">
      <c r="A2" s="41"/>
      <c r="B2" s="42"/>
      <c r="C2" s="42"/>
      <c r="D2" s="42"/>
      <c r="E2" s="42"/>
      <c r="F2" s="42"/>
      <c r="G2" s="42"/>
      <c r="H2" s="42"/>
      <c r="I2" s="42"/>
      <c r="J2" s="42"/>
      <c r="K2" s="42"/>
      <c r="L2" s="42"/>
      <c r="M2" s="42"/>
      <c r="N2" s="42"/>
    </row>
    <row r="3" spans="1:17" ht="15" customHeight="1" thickBot="1" x14ac:dyDescent="0.3">
      <c r="A3" s="41"/>
      <c r="B3" s="42"/>
      <c r="C3" s="42"/>
      <c r="D3" s="42"/>
      <c r="E3" s="42"/>
      <c r="F3" s="42"/>
      <c r="G3" s="42"/>
      <c r="H3" s="42"/>
      <c r="I3" s="42"/>
      <c r="J3" s="42"/>
      <c r="K3" s="42"/>
      <c r="L3" s="42"/>
      <c r="M3" s="42"/>
      <c r="N3" s="42"/>
    </row>
    <row r="4" spans="1:17" ht="15.75" thickBot="1" x14ac:dyDescent="0.3">
      <c r="A4" s="2" t="s">
        <v>1</v>
      </c>
      <c r="B4" s="3" t="s">
        <v>2</v>
      </c>
      <c r="C4" s="3" t="s">
        <v>3</v>
      </c>
      <c r="D4" s="45" t="s">
        <v>4</v>
      </c>
      <c r="E4" s="46"/>
      <c r="F4" s="47"/>
      <c r="G4" s="45" t="s">
        <v>5</v>
      </c>
      <c r="H4" s="47"/>
      <c r="I4" s="45"/>
      <c r="J4" s="47"/>
      <c r="K4" s="2"/>
      <c r="L4" s="2"/>
      <c r="M4" s="2"/>
      <c r="N4" s="2"/>
    </row>
    <row r="5" spans="1:17" ht="15.75" thickBot="1" x14ac:dyDescent="0.3">
      <c r="A5" s="2">
        <f>SUBTOTAL(9,Table1[TOTAL FEE])</f>
        <v>15000</v>
      </c>
      <c r="B5" s="2">
        <f>SUBTOTAL(9,Table1[PAID])</f>
        <v>5000</v>
      </c>
      <c r="C5" s="2">
        <f>A5-B5</f>
        <v>10000</v>
      </c>
      <c r="D5" s="45">
        <f>B5/100*70</f>
        <v>3500</v>
      </c>
      <c r="E5" s="46"/>
      <c r="F5" s="47"/>
      <c r="G5" s="45">
        <f>B5/100*30</f>
        <v>1500</v>
      </c>
      <c r="H5" s="47"/>
      <c r="I5" s="48"/>
      <c r="J5" s="47"/>
      <c r="K5" s="14"/>
      <c r="L5" s="2"/>
      <c r="M5" s="2"/>
      <c r="N5" s="2"/>
    </row>
    <row r="6" spans="1:17" ht="15.75" thickBot="1" x14ac:dyDescent="0.3">
      <c r="A6" s="43"/>
      <c r="B6" s="44"/>
      <c r="C6" s="44"/>
      <c r="D6" s="44"/>
      <c r="E6" s="44"/>
      <c r="F6" s="44"/>
      <c r="G6" s="44"/>
      <c r="H6" s="44"/>
      <c r="I6" s="44"/>
      <c r="J6" s="44"/>
      <c r="K6" s="44"/>
      <c r="L6" s="44"/>
      <c r="M6" s="44"/>
      <c r="N6" s="44"/>
      <c r="O6" s="44"/>
    </row>
    <row r="7" spans="1:17" ht="15.75" thickBot="1" x14ac:dyDescent="0.3">
      <c r="A7" s="7" t="s">
        <v>171</v>
      </c>
      <c r="B7" s="8" t="s">
        <v>8</v>
      </c>
      <c r="C7" s="8" t="s">
        <v>9</v>
      </c>
      <c r="D7" s="8" t="s">
        <v>10</v>
      </c>
      <c r="E7" s="8" t="s">
        <v>163</v>
      </c>
      <c r="F7" s="8" t="s">
        <v>1</v>
      </c>
      <c r="G7" s="8" t="s">
        <v>11</v>
      </c>
      <c r="H7" s="8" t="s">
        <v>12</v>
      </c>
      <c r="I7" s="8" t="s">
        <v>13</v>
      </c>
      <c r="J7" s="8" t="s">
        <v>14</v>
      </c>
      <c r="K7" s="9" t="s">
        <v>36</v>
      </c>
      <c r="L7" s="11" t="s">
        <v>37</v>
      </c>
      <c r="M7" s="11" t="s">
        <v>38</v>
      </c>
      <c r="N7" s="11" t="s">
        <v>39</v>
      </c>
      <c r="O7" s="11" t="s">
        <v>65</v>
      </c>
      <c r="P7" s="11" t="s">
        <v>72</v>
      </c>
      <c r="Q7" s="11" t="s">
        <v>137</v>
      </c>
    </row>
    <row r="8" spans="1:17" hidden="1" x14ac:dyDescent="0.25">
      <c r="A8" s="23">
        <v>35</v>
      </c>
      <c r="B8" s="5" t="str">
        <f ca="1">PROPER(Table1[[#This Row],[NAME]])</f>
        <v>Abdullah</v>
      </c>
      <c r="C8" s="4" t="s">
        <v>22</v>
      </c>
      <c r="D8" s="4" t="s">
        <v>17</v>
      </c>
      <c r="E8" s="30"/>
      <c r="F8" s="4">
        <v>18000</v>
      </c>
      <c r="G8" s="4">
        <f>Table1[[#This Row],[TOTAL]]</f>
        <v>18000</v>
      </c>
      <c r="H8" s="4">
        <f>Table1[[#This Row],[TOTAL FEE]]-Table1[[#This Row],[PAID]]</f>
        <v>0</v>
      </c>
      <c r="I8" s="4" t="str">
        <f>IF(Table1[[#This Row],[TOTAL]]&lt;1, "Unpaid", IF(Table1[[#This Row],[TOTAL]]&lt;F8, "Partial Paid", "Paid"))</f>
        <v>Paid</v>
      </c>
      <c r="J8" s="5" t="s">
        <v>91</v>
      </c>
      <c r="K8" s="5">
        <v>4000</v>
      </c>
      <c r="L8" s="5">
        <v>1500</v>
      </c>
      <c r="M8" s="5">
        <v>1000</v>
      </c>
      <c r="N8" s="5">
        <v>7500</v>
      </c>
      <c r="O8" s="5">
        <v>4000</v>
      </c>
      <c r="P8" s="5">
        <f>SUM(Table1[[#This Row],[REGESTRATION]:[EXAMINATION]])</f>
        <v>18000</v>
      </c>
      <c r="Q8" s="5">
        <v>45988</v>
      </c>
    </row>
    <row r="9" spans="1:17" hidden="1" x14ac:dyDescent="0.25">
      <c r="A9" s="23">
        <v>36</v>
      </c>
      <c r="B9" s="5" t="str">
        <f ca="1">PROPER(Table1[[#This Row],[NAME]])</f>
        <v>Mahaz Saleem</v>
      </c>
      <c r="C9" s="4" t="s">
        <v>23</v>
      </c>
      <c r="D9" s="4" t="s">
        <v>17</v>
      </c>
      <c r="E9" s="30"/>
      <c r="F9" s="4">
        <v>16500</v>
      </c>
      <c r="G9" s="4">
        <f>Table1[[#This Row],[TOTAL]]</f>
        <v>16500</v>
      </c>
      <c r="H9" s="4">
        <f>Table1[[#This Row],[TOTAL FEE]]-Table1[[#This Row],[PAID]]</f>
        <v>0</v>
      </c>
      <c r="I9" s="4" t="str">
        <f>IF(Table1[[#This Row],[TOTAL]]&lt;1, "Unpaid", IF(Table1[[#This Row],[TOTAL]]&lt;F9, "Partial Paid", "Paid"))</f>
        <v>Paid</v>
      </c>
      <c r="J9" s="5" t="s">
        <v>92</v>
      </c>
      <c r="K9" s="5">
        <v>4000</v>
      </c>
      <c r="L9" s="5"/>
      <c r="M9" s="5">
        <v>1000</v>
      </c>
      <c r="N9" s="5">
        <v>8000</v>
      </c>
      <c r="O9" s="5">
        <v>3500</v>
      </c>
      <c r="P9" s="5">
        <f>SUM(Table1[[#This Row],[REGESTRATION]:[EXAMINATION]])</f>
        <v>16500</v>
      </c>
      <c r="Q9" s="5">
        <v>46023</v>
      </c>
    </row>
    <row r="10" spans="1:17" hidden="1" x14ac:dyDescent="0.25">
      <c r="A10" s="23">
        <v>38</v>
      </c>
      <c r="B10" s="5" t="str">
        <f ca="1">PROPER(Table1[[#This Row],[NAME]])</f>
        <v>Malik Anas Tanoli</v>
      </c>
      <c r="C10" s="4" t="s">
        <v>25</v>
      </c>
      <c r="D10" s="4" t="s">
        <v>17</v>
      </c>
      <c r="E10" s="30"/>
      <c r="F10" s="4">
        <v>18800</v>
      </c>
      <c r="G10" s="4">
        <f>Table1[[#This Row],[TOTAL]]</f>
        <v>18800</v>
      </c>
      <c r="H10" s="4">
        <f>Table1[[#This Row],[TOTAL FEE]]-Table1[[#This Row],[PAID]]</f>
        <v>0</v>
      </c>
      <c r="I10" s="4" t="str">
        <f>IF(Table1[[#This Row],[TOTAL]]&lt;1, "Unpaid", IF(Table1[[#This Row],[TOTAL]]&lt;F10, "Partial Paid", "Paid"))</f>
        <v>Paid</v>
      </c>
      <c r="J10" s="5" t="s">
        <v>94</v>
      </c>
      <c r="K10" s="5">
        <v>4000</v>
      </c>
      <c r="L10" s="5">
        <v>1800</v>
      </c>
      <c r="M10" s="5">
        <v>1000</v>
      </c>
      <c r="N10" s="5">
        <v>8000</v>
      </c>
      <c r="O10" s="5">
        <v>4000</v>
      </c>
      <c r="P10" s="5">
        <f>SUM(Table1[[#This Row],[REGESTRATION]:[EXAMINATION]])</f>
        <v>18800</v>
      </c>
      <c r="Q10" s="5">
        <v>46024</v>
      </c>
    </row>
    <row r="11" spans="1:17" hidden="1" x14ac:dyDescent="0.25">
      <c r="A11" s="23">
        <v>47</v>
      </c>
      <c r="B11" s="5" t="str">
        <f ca="1">PROPER(Table1[[#This Row],[NAME]])</f>
        <v>Asad Khan</v>
      </c>
      <c r="C11" s="4" t="s">
        <v>33</v>
      </c>
      <c r="D11" s="4" t="s">
        <v>17</v>
      </c>
      <c r="E11" s="30"/>
      <c r="F11" s="4">
        <v>17500</v>
      </c>
      <c r="G11" s="4">
        <f>Table1[[#This Row],[TOTAL]]</f>
        <v>17500</v>
      </c>
      <c r="H11" s="4">
        <v>0</v>
      </c>
      <c r="I11" s="4" t="str">
        <f>IF(Table1[[#This Row],[TOTAL]]&lt;1, "Unpaid", IF(Table1[[#This Row],[TOTAL]]&lt;F11, "Partial Paid", "Paid"))</f>
        <v>Paid</v>
      </c>
      <c r="J11" s="5" t="s">
        <v>102</v>
      </c>
      <c r="K11" s="5">
        <v>4000</v>
      </c>
      <c r="L11" s="5">
        <v>1500</v>
      </c>
      <c r="M11" s="5">
        <v>1000</v>
      </c>
      <c r="N11" s="5">
        <v>8000</v>
      </c>
      <c r="O11" s="5">
        <v>3000</v>
      </c>
      <c r="P11" s="5">
        <f>SUM(Table1[[#This Row],[REGESTRATION]:[EXAMINATION]])</f>
        <v>17500</v>
      </c>
      <c r="Q11" s="5">
        <v>46056</v>
      </c>
    </row>
    <row r="12" spans="1:17" hidden="1" x14ac:dyDescent="0.25">
      <c r="A12" s="23">
        <v>40</v>
      </c>
      <c r="B12" s="5" t="str">
        <f ca="1">PROPER(Table1[[#This Row],[NAME]])</f>
        <v>Farhan Shakeel</v>
      </c>
      <c r="C12" s="4" t="s">
        <v>26</v>
      </c>
      <c r="D12" s="4" t="s">
        <v>17</v>
      </c>
      <c r="E12" s="30"/>
      <c r="F12" s="4">
        <v>17500</v>
      </c>
      <c r="G12" s="4">
        <v>17500</v>
      </c>
      <c r="H12" s="4">
        <f>Table1[[#This Row],[TOTAL FEE]]-Table1[[#This Row],[PAID]]</f>
        <v>0</v>
      </c>
      <c r="I12" s="4" t="str">
        <f>IF(Table1[[#This Row],[PAID]]&lt;1, "Unpaid", IF(Table1[[#This Row],[PAID]]&lt;F12, "Partial Paid", "Paid"))</f>
        <v>Paid</v>
      </c>
      <c r="J12" s="5" t="s">
        <v>95</v>
      </c>
      <c r="K12" s="5">
        <v>3500</v>
      </c>
      <c r="L12" s="5">
        <v>1500</v>
      </c>
      <c r="M12" s="5">
        <v>1000</v>
      </c>
      <c r="N12" s="5">
        <v>6000</v>
      </c>
      <c r="O12" s="5">
        <v>3500</v>
      </c>
      <c r="P12" s="5">
        <f>SUM(Table1[[#This Row],[REGESTRATION]:[EXAMINATION]])</f>
        <v>15500</v>
      </c>
      <c r="Q12" s="5">
        <v>46059</v>
      </c>
    </row>
    <row r="13" spans="1:17" hidden="1" x14ac:dyDescent="0.25">
      <c r="A13" s="23">
        <v>32</v>
      </c>
      <c r="B13" s="5" t="str">
        <f ca="1">PROPER(Table1[[#This Row],[NAME]])</f>
        <v>Urooj</v>
      </c>
      <c r="C13" s="4" t="s">
        <v>19</v>
      </c>
      <c r="D13" s="4" t="s">
        <v>17</v>
      </c>
      <c r="E13" s="30"/>
      <c r="F13" s="4">
        <v>9500</v>
      </c>
      <c r="G13" s="4">
        <f>Table1[[#This Row],[TOTAL]]</f>
        <v>9500</v>
      </c>
      <c r="H13" s="4">
        <f>Table1[[#This Row],[TOTAL FEE]]-Table1[[#This Row],[PAID]]</f>
        <v>0</v>
      </c>
      <c r="I13" s="4" t="str">
        <f>IF(Table1[[#This Row],[TOTAL]]&lt;1, "Unpaid", IF(Table1[[#This Row],[TOTAL]]&lt;F13, "Partial Paid", "Paid"))</f>
        <v>Paid</v>
      </c>
      <c r="J13" s="5" t="s">
        <v>88</v>
      </c>
      <c r="K13" s="5">
        <v>3500</v>
      </c>
      <c r="L13" s="5">
        <v>1500</v>
      </c>
      <c r="M13" s="5">
        <v>1000</v>
      </c>
      <c r="N13" s="5">
        <v>0</v>
      </c>
      <c r="O13" s="5">
        <v>3500</v>
      </c>
      <c r="P13" s="5">
        <f>SUM(Table1[[#This Row],[REGESTRATION]:[EXAMINATION]])</f>
        <v>9500</v>
      </c>
      <c r="Q13" s="5">
        <v>46062</v>
      </c>
    </row>
    <row r="14" spans="1:17" hidden="1" x14ac:dyDescent="0.25">
      <c r="A14" s="23">
        <v>46</v>
      </c>
      <c r="B14" s="5" t="str">
        <f ca="1">PROPER(Table1[[#This Row],[NAME]])</f>
        <v>Shoaib Ahmed</v>
      </c>
      <c r="C14" s="4" t="s">
        <v>32</v>
      </c>
      <c r="D14" s="4" t="s">
        <v>17</v>
      </c>
      <c r="E14" s="30"/>
      <c r="F14" s="4">
        <v>16000</v>
      </c>
      <c r="G14" s="4">
        <f>Table1[[#This Row],[TOTAL]]</f>
        <v>16000</v>
      </c>
      <c r="H14" s="4">
        <f>Table1[[#This Row],[TOTAL FEE]]-Table1[[#This Row],[PAID]]</f>
        <v>0</v>
      </c>
      <c r="I14" s="4" t="str">
        <f>IF(Table1[[#This Row],[TOTAL]]&lt;1, "Unpaid", IF(Table1[[#This Row],[TOTAL]]&lt;F14, "Partial Paid", "Paid"))</f>
        <v>Paid</v>
      </c>
      <c r="J14" s="5" t="s">
        <v>101</v>
      </c>
      <c r="K14" s="5">
        <v>4000</v>
      </c>
      <c r="L14" s="5">
        <v>1500</v>
      </c>
      <c r="M14" s="5">
        <v>1000</v>
      </c>
      <c r="N14" s="5">
        <v>6000</v>
      </c>
      <c r="O14" s="5">
        <v>3500</v>
      </c>
      <c r="P14" s="5">
        <f>SUM(Table1[[#This Row],[REGESTRATION]:[EXAMINATION]])</f>
        <v>16000</v>
      </c>
      <c r="Q14" s="5">
        <v>46114</v>
      </c>
    </row>
    <row r="15" spans="1:17" hidden="1" x14ac:dyDescent="0.25">
      <c r="A15" s="23">
        <v>41</v>
      </c>
      <c r="B15" s="5" t="str">
        <f ca="1">PROPER(Table1[[#This Row],[NAME]])</f>
        <v>Ismail</v>
      </c>
      <c r="C15" s="4" t="s">
        <v>27</v>
      </c>
      <c r="D15" s="4" t="s">
        <v>17</v>
      </c>
      <c r="E15" s="30"/>
      <c r="F15" s="4">
        <v>17500</v>
      </c>
      <c r="G15" s="4">
        <f>Table1[[#This Row],[TOTAL]]</f>
        <v>17500</v>
      </c>
      <c r="H15" s="4">
        <f>Table1[[#This Row],[TOTAL FEE]]-Table1[[#This Row],[PAID]]</f>
        <v>0</v>
      </c>
      <c r="I15" s="4" t="str">
        <f>IF(Table1[[#This Row],[TOTAL]]&lt;1, "Unpaid", IF(Table1[[#This Row],[TOTAL]]&lt;F15, "Partial Paid", "Paid"))</f>
        <v>Paid</v>
      </c>
      <c r="J15" s="5" t="s">
        <v>96</v>
      </c>
      <c r="K15" s="5">
        <v>4000</v>
      </c>
      <c r="L15" s="5">
        <v>1500</v>
      </c>
      <c r="M15" s="5">
        <v>1000</v>
      </c>
      <c r="N15" s="5">
        <v>7000</v>
      </c>
      <c r="O15" s="5">
        <v>4000</v>
      </c>
      <c r="P15" s="5">
        <f>SUM(Table1[[#This Row],[REGESTRATION]:[EXAMINATION]])</f>
        <v>17500</v>
      </c>
      <c r="Q15" s="5">
        <v>46139</v>
      </c>
    </row>
    <row r="16" spans="1:17" hidden="1" x14ac:dyDescent="0.25">
      <c r="A16" s="23">
        <v>42</v>
      </c>
      <c r="B16" s="5" t="str">
        <f ca="1">PROPER(Table1[[#This Row],[NAME]])</f>
        <v>Waseem</v>
      </c>
      <c r="C16" s="4" t="s">
        <v>28</v>
      </c>
      <c r="D16" s="4" t="s">
        <v>17</v>
      </c>
      <c r="E16" s="30"/>
      <c r="F16" s="4">
        <v>17500</v>
      </c>
      <c r="G16" s="4">
        <f>Table1[[#This Row],[TOTAL]]</f>
        <v>17500</v>
      </c>
      <c r="H16" s="4">
        <f>Table1[[#This Row],[TOTAL FEE]]-Table1[[#This Row],[PAID]]</f>
        <v>0</v>
      </c>
      <c r="I16" s="4" t="str">
        <f>IF(Table1[[#This Row],[TOTAL]]&lt;1, "Unpaid", IF(Table1[[#This Row],[TOTAL]]&lt;F16, "Partial Paid", "Paid"))</f>
        <v>Paid</v>
      </c>
      <c r="J16" s="5" t="s">
        <v>97</v>
      </c>
      <c r="K16" s="5">
        <v>4000</v>
      </c>
      <c r="L16" s="5">
        <v>1500</v>
      </c>
      <c r="M16" s="5">
        <v>1000</v>
      </c>
      <c r="N16" s="5">
        <v>7500</v>
      </c>
      <c r="O16" s="5">
        <v>3500</v>
      </c>
      <c r="P16" s="5">
        <f>SUM(Table1[[#This Row],[REGESTRATION]:[EXAMINATION]])</f>
        <v>17500</v>
      </c>
      <c r="Q16" s="5">
        <v>46139</v>
      </c>
    </row>
    <row r="17" spans="1:17" s="29" customFormat="1" hidden="1" x14ac:dyDescent="0.25">
      <c r="A17" s="23">
        <v>44</v>
      </c>
      <c r="B17" s="5" t="str">
        <f ca="1">PROPER(Table1[[#This Row],[NAME]])</f>
        <v>Ahmed Ali</v>
      </c>
      <c r="C17" s="4" t="s">
        <v>30</v>
      </c>
      <c r="D17" s="4" t="s">
        <v>17</v>
      </c>
      <c r="E17" s="30"/>
      <c r="F17" s="4">
        <v>12000</v>
      </c>
      <c r="G17" s="4">
        <f>Table1[[#This Row],[TOTAL]]</f>
        <v>9900</v>
      </c>
      <c r="H17" s="4">
        <f>Table1[[#This Row],[TOTAL FEE]]-Table1[[#This Row],[PAID]]</f>
        <v>2100</v>
      </c>
      <c r="I17" s="4" t="str">
        <f>IF(Table1[[#This Row],[PAID]]&lt;1, "Unpaid", IF(Table1[[#This Row],[PAID]]&lt;F17, "Partial Paid", "Paid"))</f>
        <v>Partial Paid</v>
      </c>
      <c r="J17" s="5" t="s">
        <v>99</v>
      </c>
      <c r="K17" s="5">
        <v>3500</v>
      </c>
      <c r="L17" s="5"/>
      <c r="M17" s="5">
        <v>1000</v>
      </c>
      <c r="N17" s="5">
        <v>5400</v>
      </c>
      <c r="O17" s="5"/>
      <c r="P17" s="5">
        <f>SUM(Table1[[#This Row],[REGESTRATION]:[EXAMINATION]])</f>
        <v>9900</v>
      </c>
      <c r="Q17" s="5">
        <v>46146</v>
      </c>
    </row>
    <row r="18" spans="1:17" hidden="1" x14ac:dyDescent="0.25">
      <c r="A18" s="23">
        <v>43</v>
      </c>
      <c r="B18" s="5" t="str">
        <f ca="1">PROPER(Table1[[#This Row],[NAME]])</f>
        <v>Muhammad Umer</v>
      </c>
      <c r="C18" s="4" t="s">
        <v>29</v>
      </c>
      <c r="D18" s="4" t="s">
        <v>17</v>
      </c>
      <c r="E18" s="30"/>
      <c r="F18" s="4">
        <v>16000</v>
      </c>
      <c r="G18" s="4">
        <f>Table1[[#This Row],[TOTAL]]</f>
        <v>12000</v>
      </c>
      <c r="H18" s="4">
        <f>Table1[[#This Row],[TOTAL FEE]]-Table1[[#This Row],[PAID]]</f>
        <v>4000</v>
      </c>
      <c r="I18" s="4" t="str">
        <f>IF(Table1[[#This Row],[PAID]]&lt;1, "Unpaid", IF(Table1[[#This Row],[PAID]]&lt;F18, "Partial Paid", "Paid"))</f>
        <v>Partial Paid</v>
      </c>
      <c r="J18" s="5" t="s">
        <v>98</v>
      </c>
      <c r="K18" s="5">
        <v>4000</v>
      </c>
      <c r="L18" s="5">
        <v>1500</v>
      </c>
      <c r="M18" s="5">
        <v>1000</v>
      </c>
      <c r="N18" s="5">
        <v>2000</v>
      </c>
      <c r="O18" s="5">
        <v>3500</v>
      </c>
      <c r="P18" s="5">
        <f>SUM(Table1[[#This Row],[REGESTRATION]:[EXAMINATION]])</f>
        <v>12000</v>
      </c>
      <c r="Q18" s="5">
        <v>46148</v>
      </c>
    </row>
    <row r="19" spans="1:17" s="29" customFormat="1" hidden="1" x14ac:dyDescent="0.25">
      <c r="A19" s="23">
        <v>45</v>
      </c>
      <c r="B19" s="5" t="str">
        <f ca="1">PROPER(Table1[[#This Row],[NAME]])</f>
        <v>Hussnain</v>
      </c>
      <c r="C19" s="4" t="s">
        <v>31</v>
      </c>
      <c r="D19" s="4" t="s">
        <v>17</v>
      </c>
      <c r="E19" s="30"/>
      <c r="F19" s="4">
        <v>10500</v>
      </c>
      <c r="G19" s="4">
        <f>Table1[[#This Row],[TOTAL]]</f>
        <v>9500</v>
      </c>
      <c r="H19" s="4">
        <f>Table1[[#This Row],[TOTAL FEE]]-Table1[[#This Row],[PAID]]</f>
        <v>1000</v>
      </c>
      <c r="I19" s="4" t="str">
        <f>IF(Table1[[#This Row],[PAID]]&lt;1, "Unpaid", IF(Table1[[#This Row],[PAID]]&lt;F19, "Partial Paid", "Paid"))</f>
        <v>Partial Paid</v>
      </c>
      <c r="J19" s="5" t="s">
        <v>100</v>
      </c>
      <c r="K19" s="5">
        <v>3500</v>
      </c>
      <c r="L19" s="5">
        <v>0</v>
      </c>
      <c r="M19" s="5">
        <v>1000</v>
      </c>
      <c r="N19" s="5">
        <v>2000</v>
      </c>
      <c r="O19" s="5">
        <v>3000</v>
      </c>
      <c r="P19" s="5">
        <f>SUM(Table1[[#This Row],[REGESTRATION]:[EXAMINATION]])</f>
        <v>9500</v>
      </c>
      <c r="Q19" s="5">
        <v>46151</v>
      </c>
    </row>
    <row r="20" spans="1:17" hidden="1" x14ac:dyDescent="0.25">
      <c r="A20" s="23">
        <v>34</v>
      </c>
      <c r="B20" s="5" t="str">
        <f ca="1">PROPER(Table1[[#This Row],[NAME]])</f>
        <v>Aimen Muneer</v>
      </c>
      <c r="C20" s="4" t="s">
        <v>21</v>
      </c>
      <c r="D20" s="4" t="s">
        <v>17</v>
      </c>
      <c r="E20" s="30"/>
      <c r="F20" s="4">
        <v>15000</v>
      </c>
      <c r="G20" s="4">
        <f>Table1[[#This Row],[TOTAL]]</f>
        <v>13500</v>
      </c>
      <c r="H20" s="4">
        <f>Table1[[#This Row],[TOTAL FEE]]-Table1[[#This Row],[PAID]]</f>
        <v>1500</v>
      </c>
      <c r="I20" s="4" t="str">
        <f>IF(Table1[[#This Row],[PAID]]&lt;1, "Unpaid", IF(Table1[[#This Row],[PAID]]&lt;F20, "Partial Paid", "Paid"))</f>
        <v>Partial Paid</v>
      </c>
      <c r="J20" s="5" t="s">
        <v>90</v>
      </c>
      <c r="K20" s="5">
        <v>4000</v>
      </c>
      <c r="L20" s="5">
        <v>1500</v>
      </c>
      <c r="M20" s="5">
        <v>1000</v>
      </c>
      <c r="N20" s="5">
        <v>2500</v>
      </c>
      <c r="O20" s="5">
        <v>4500</v>
      </c>
      <c r="P20" s="5">
        <f>SUM(Table1[[#This Row],[REGESTRATION]:[EXAMINATION]])</f>
        <v>13500</v>
      </c>
      <c r="Q20" s="5">
        <v>46163</v>
      </c>
    </row>
    <row r="21" spans="1:17" hidden="1" x14ac:dyDescent="0.25">
      <c r="A21" s="23">
        <v>48</v>
      </c>
      <c r="B21" s="5" t="str">
        <f ca="1">PROPER(Table1[[#This Row],[NAME]])</f>
        <v>Abdullah</v>
      </c>
      <c r="C21" s="4" t="s">
        <v>34</v>
      </c>
      <c r="D21" s="4" t="s">
        <v>17</v>
      </c>
      <c r="E21" s="30"/>
      <c r="F21" s="4">
        <v>14500</v>
      </c>
      <c r="G21" s="4">
        <v>14500</v>
      </c>
      <c r="H21" s="4">
        <f>Table1[[#This Row],[TOTAL FEE]]-Table1[[#This Row],[PAID]]</f>
        <v>0</v>
      </c>
      <c r="I21" s="4" t="str">
        <f>IF(Table1[[#This Row],[PAID]]&lt;1, "Unpaid", IF(Table1[[#This Row],[PAID]]&lt;F21, "Partial Paid", "Paid"))</f>
        <v>Paid</v>
      </c>
      <c r="J21" s="5" t="s">
        <v>103</v>
      </c>
      <c r="K21" s="5">
        <v>3500</v>
      </c>
      <c r="L21" s="5">
        <v>1500</v>
      </c>
      <c r="M21" s="5">
        <v>1000</v>
      </c>
      <c r="N21" s="5">
        <v>4000</v>
      </c>
      <c r="O21" s="5">
        <v>3500</v>
      </c>
      <c r="P21" s="5">
        <f>SUM(Table1[[#This Row],[REGESTRATION]:[EXAMINATION]])</f>
        <v>13500</v>
      </c>
      <c r="Q21" s="5">
        <v>46176</v>
      </c>
    </row>
    <row r="22" spans="1:17" hidden="1" x14ac:dyDescent="0.25">
      <c r="A22" s="23">
        <v>33</v>
      </c>
      <c r="B22" s="5" t="str">
        <f ca="1">PROPER(Table1[[#This Row],[NAME]])</f>
        <v>Nadia</v>
      </c>
      <c r="C22" s="4" t="s">
        <v>20</v>
      </c>
      <c r="D22" s="4" t="s">
        <v>17</v>
      </c>
      <c r="E22" s="30"/>
      <c r="F22" s="4">
        <v>15500</v>
      </c>
      <c r="G22" s="4">
        <f>Table1[[#This Row],[TOTAL]]</f>
        <v>15500</v>
      </c>
      <c r="H22" s="4">
        <f>Table1[[#This Row],[TOTAL FEE]]-Table1[[#This Row],[PAID]]</f>
        <v>0</v>
      </c>
      <c r="I22" s="4" t="str">
        <f>IF(Table1[[#This Row],[TOTAL]]&lt;1, "Unpaid", IF(Table1[[#This Row],[TOTAL]]&lt;F22, "Partial Paid", "Paid"))</f>
        <v>Paid</v>
      </c>
      <c r="J22" s="5" t="s">
        <v>89</v>
      </c>
      <c r="K22" s="5">
        <v>3500</v>
      </c>
      <c r="L22" s="5">
        <v>1500</v>
      </c>
      <c r="M22" s="5">
        <v>1000</v>
      </c>
      <c r="N22" s="5">
        <v>6000</v>
      </c>
      <c r="O22" s="5">
        <v>3500</v>
      </c>
      <c r="P22" s="5">
        <f>SUM(Table1[[#This Row],[REGESTRATION]:[EXAMINATION]])</f>
        <v>15500</v>
      </c>
      <c r="Q22" s="5">
        <v>46181</v>
      </c>
    </row>
    <row r="23" spans="1:17" hidden="1" x14ac:dyDescent="0.25">
      <c r="A23" s="23">
        <v>50</v>
      </c>
      <c r="B23" s="5" t="str">
        <f ca="1">PROPER(Table1[[#This Row],[NAME]])</f>
        <v>Rehmat Ali</v>
      </c>
      <c r="C23" s="4" t="s">
        <v>35</v>
      </c>
      <c r="D23" s="4" t="s">
        <v>17</v>
      </c>
      <c r="E23" s="30"/>
      <c r="F23" s="4">
        <v>15500</v>
      </c>
      <c r="G23" s="4">
        <f>Table1[[#This Row],[TOTAL]]</f>
        <v>10500</v>
      </c>
      <c r="H23" s="4">
        <f>Table1[[#This Row],[TOTAL FEE]]-Table1[[#This Row],[PAID]]</f>
        <v>5000</v>
      </c>
      <c r="I23" s="4" t="str">
        <f>IF(Table1[[#This Row],[PAID]]&lt;1, "Unpaid", IF(Table1[[#This Row],[PAID]]&lt;F23, "Partial Paid", "Paid"))</f>
        <v>Partial Paid</v>
      </c>
      <c r="J23" s="5" t="s">
        <v>105</v>
      </c>
      <c r="K23" s="5">
        <v>4000</v>
      </c>
      <c r="L23" s="5">
        <v>1500</v>
      </c>
      <c r="M23" s="5">
        <v>1000</v>
      </c>
      <c r="N23" s="5">
        <v>0</v>
      </c>
      <c r="O23" s="5">
        <v>4000</v>
      </c>
      <c r="P23" s="5">
        <f>SUM(Table1[[#This Row],[REGESTRATION]:[EXAMINATION]])</f>
        <v>10500</v>
      </c>
      <c r="Q23" s="5">
        <v>46184</v>
      </c>
    </row>
    <row r="24" spans="1:17" hidden="1" x14ac:dyDescent="0.25">
      <c r="A24" s="23">
        <v>49</v>
      </c>
      <c r="B24" s="5" t="str">
        <f ca="1">PROPER(Table1[[#This Row],[NAME]])</f>
        <v>Abdul Rafay</v>
      </c>
      <c r="C24" s="4" t="s">
        <v>16</v>
      </c>
      <c r="D24" s="4" t="s">
        <v>17</v>
      </c>
      <c r="E24" s="30"/>
      <c r="F24" s="4">
        <v>17500</v>
      </c>
      <c r="G24" s="4">
        <v>17500</v>
      </c>
      <c r="H24" s="4">
        <f>Table1[[#This Row],[TOTAL FEE]]-Table1[[#This Row],[PAID]]</f>
        <v>0</v>
      </c>
      <c r="I24" s="4" t="str">
        <f>IF(Table1[[#This Row],[PAID]]&lt;1, "Unpaid", IF(Table1[[#This Row],[PAID]]&lt;F24, "Partial Paid", "Paid"))</f>
        <v>Paid</v>
      </c>
      <c r="J24" s="5" t="s">
        <v>104</v>
      </c>
      <c r="K24" s="5">
        <v>4500</v>
      </c>
      <c r="L24" s="5">
        <v>1500</v>
      </c>
      <c r="M24" s="5">
        <v>1000</v>
      </c>
      <c r="N24" s="5">
        <v>2000</v>
      </c>
      <c r="O24" s="5">
        <v>4500</v>
      </c>
      <c r="P24" s="5">
        <f>SUM(Table1[[#This Row],[REGESTRATION]:[EXAMINATION]])</f>
        <v>13500</v>
      </c>
      <c r="Q24" s="5">
        <v>46185</v>
      </c>
    </row>
    <row r="25" spans="1:17" hidden="1" x14ac:dyDescent="0.25">
      <c r="A25" s="23">
        <v>31</v>
      </c>
      <c r="B25" s="5" t="str">
        <f ca="1">PROPER(Table1[[#This Row],[NAME]])</f>
        <v>Natasha</v>
      </c>
      <c r="C25" s="4" t="s">
        <v>18</v>
      </c>
      <c r="D25" s="4" t="s">
        <v>17</v>
      </c>
      <c r="E25" s="30"/>
      <c r="F25" s="4">
        <v>15000</v>
      </c>
      <c r="G25" s="4">
        <f>Table1[[#This Row],[TOTAL]]</f>
        <v>14500</v>
      </c>
      <c r="H25" s="4">
        <v>1500</v>
      </c>
      <c r="I25" s="4" t="str">
        <f>IF(Table1[[#This Row],[PAID]]&lt;1, "Unpaid", IF(Table1[[#This Row],[PAID]]&lt;F25, "Partial Paid", "Paid"))</f>
        <v>Partial Paid</v>
      </c>
      <c r="J25" s="5" t="s">
        <v>87</v>
      </c>
      <c r="K25" s="5">
        <v>4000</v>
      </c>
      <c r="L25" s="5">
        <v>1500</v>
      </c>
      <c r="M25" s="5">
        <v>1000</v>
      </c>
      <c r="N25" s="5">
        <v>6000</v>
      </c>
      <c r="O25" s="5">
        <v>2000</v>
      </c>
      <c r="P25" s="5">
        <f>SUM(Table1[[#This Row],[REGESTRATION]:[EXAMINATION]])</f>
        <v>14500</v>
      </c>
      <c r="Q25" s="5">
        <v>46209</v>
      </c>
    </row>
    <row r="26" spans="1:17" hidden="1" x14ac:dyDescent="0.25">
      <c r="A26" s="23">
        <v>37</v>
      </c>
      <c r="B26" s="5" t="str">
        <f ca="1">PROPER(Table1[[#This Row],[NAME]])</f>
        <v>M. Riaz</v>
      </c>
      <c r="C26" s="4" t="s">
        <v>24</v>
      </c>
      <c r="D26" s="4" t="s">
        <v>17</v>
      </c>
      <c r="E26" s="30"/>
      <c r="F26" s="4">
        <v>17000</v>
      </c>
      <c r="G26" s="4">
        <f>Table1[[#This Row],[TOTAL]]</f>
        <v>17000</v>
      </c>
      <c r="H26" s="4">
        <f>Table1[[#This Row],[TOTAL FEE]]-Table1[[#This Row],[PAID]]</f>
        <v>0</v>
      </c>
      <c r="I26" s="4" t="str">
        <f>IF(Table1[[#This Row],[TOTAL]]&lt;1, "Unpaid", IF(Table1[[#This Row],[TOTAL]]&lt;F26, "Partial Paid", "Paid"))</f>
        <v>Paid</v>
      </c>
      <c r="J26" s="5" t="s">
        <v>93</v>
      </c>
      <c r="K26" s="5">
        <v>4000</v>
      </c>
      <c r="L26" s="5">
        <v>1500</v>
      </c>
      <c r="M26" s="5">
        <v>1000</v>
      </c>
      <c r="N26" s="5">
        <v>6000</v>
      </c>
      <c r="O26" s="5">
        <v>4500</v>
      </c>
      <c r="P26" s="5">
        <f>SUM(Table1[[#This Row],[REGESTRATION]:[EXAMINATION]])</f>
        <v>17000</v>
      </c>
      <c r="Q26" s="5">
        <v>46365</v>
      </c>
    </row>
    <row r="27" spans="1:17" hidden="1" x14ac:dyDescent="0.25">
      <c r="A27" s="23">
        <v>52</v>
      </c>
      <c r="B27" s="5" t="str">
        <f ca="1">PROPER(Table1[[#This Row],[NAME]])</f>
        <v xml:space="preserve">Laiba </v>
      </c>
      <c r="C27" s="4" t="s">
        <v>41</v>
      </c>
      <c r="D27" s="4" t="s">
        <v>40</v>
      </c>
      <c r="E27" s="30"/>
      <c r="F27" s="4">
        <v>14000</v>
      </c>
      <c r="G27" s="4">
        <f>SUM(Table1[[#This Row],[MONTHLY FEE]:[EXAMINATION]])</f>
        <v>14000</v>
      </c>
      <c r="H27" s="4">
        <f>Table1[[#This Row],[TOTAL FEE]]-Table1[[#This Row],[PAID]]</f>
        <v>0</v>
      </c>
      <c r="I27" s="4" t="str">
        <f>IF(Table1[[#This Row],[TOTAL]]&lt;1, "Unpaid", IF(Table1[[#This Row],[PAID]]&lt;Table1[[#This Row],[TOTAL FEE]], "Partial Paid", "Paid"))</f>
        <v>Paid</v>
      </c>
      <c r="J27" s="5"/>
      <c r="K27" s="5"/>
      <c r="L27" s="5"/>
      <c r="M27" s="5"/>
      <c r="N27" s="5">
        <v>10500</v>
      </c>
      <c r="O27" s="5">
        <v>3500</v>
      </c>
      <c r="P27" s="5">
        <f>SUM(Table1[[#This Row],[MONTHLY FEE]:[EXAMINATION]])</f>
        <v>14000</v>
      </c>
      <c r="Q27" s="5"/>
    </row>
    <row r="28" spans="1:17" hidden="1" x14ac:dyDescent="0.25">
      <c r="A28" s="23">
        <v>53</v>
      </c>
      <c r="B28" s="5" t="str">
        <f ca="1">PROPER(Table1[[#This Row],[NAME]])</f>
        <v>Urooj Bibi</v>
      </c>
      <c r="C28" s="4" t="s">
        <v>41</v>
      </c>
      <c r="D28" s="4" t="s">
        <v>40</v>
      </c>
      <c r="E28" s="30"/>
      <c r="F28" s="4">
        <v>14000</v>
      </c>
      <c r="G28" s="4">
        <f>SUM(Table1[[#This Row],[MONTHLY FEE]:[EXAMINATION]])</f>
        <v>14000</v>
      </c>
      <c r="H28" s="4">
        <f>Table1[[#This Row],[TOTAL FEE]]-Table1[[#This Row],[PAID]]</f>
        <v>0</v>
      </c>
      <c r="I28" s="4" t="str">
        <f>IF(Table1[[#This Row],[TOTAL]]&lt;1, "Unpaid", IF(Table1[[#This Row],[TOTAL]]&lt;F28, "Partial Paid", "Paid"))</f>
        <v>Paid</v>
      </c>
      <c r="J28" s="5"/>
      <c r="K28" s="5"/>
      <c r="L28" s="5"/>
      <c r="M28" s="5"/>
      <c r="N28" s="5">
        <v>10500</v>
      </c>
      <c r="O28" s="5">
        <v>3500</v>
      </c>
      <c r="P28" s="5">
        <f>SUM(Table1[[#This Row],[MONTHLY FEE]:[EXAMINATION]])</f>
        <v>14000</v>
      </c>
      <c r="Q28" s="5"/>
    </row>
    <row r="29" spans="1:17" hidden="1" x14ac:dyDescent="0.25">
      <c r="A29" s="23">
        <v>54</v>
      </c>
      <c r="B29" s="5" t="str">
        <f ca="1">PROPER(Table1[[#This Row],[NAME]])</f>
        <v>Ayesha Gull</v>
      </c>
      <c r="C29" s="4" t="s">
        <v>42</v>
      </c>
      <c r="D29" s="4" t="s">
        <v>40</v>
      </c>
      <c r="E29" s="30"/>
      <c r="F29" s="4">
        <v>14000</v>
      </c>
      <c r="G29" s="4">
        <f>SUM(Table1[[#This Row],[MONTHLY FEE]:[EXAMINATION]])</f>
        <v>14000</v>
      </c>
      <c r="H29" s="4">
        <f>Table1[[#This Row],[TOTAL FEE]]-Table1[[#This Row],[PAID]]</f>
        <v>0</v>
      </c>
      <c r="I29" s="4" t="str">
        <f>IF(Table1[[#This Row],[TOTAL]]&lt;1, "Unpaid", IF(Table1[[#This Row],[TOTAL]]&lt;F29, "Partial Paid", "Paid"))</f>
        <v>Paid</v>
      </c>
      <c r="J29" s="5"/>
      <c r="K29" s="5"/>
      <c r="L29" s="5"/>
      <c r="M29" s="5"/>
      <c r="N29" s="5">
        <v>10500</v>
      </c>
      <c r="O29" s="5">
        <v>3500</v>
      </c>
      <c r="P29" s="5">
        <f>SUM(Table1[[#This Row],[MONTHLY FEE]:[EXAMINATION]])</f>
        <v>14000</v>
      </c>
      <c r="Q29" s="5"/>
    </row>
    <row r="30" spans="1:17" s="29" customFormat="1" hidden="1" x14ac:dyDescent="0.25">
      <c r="A30" s="23">
        <v>55</v>
      </c>
      <c r="B30" s="5" t="str">
        <f ca="1">PROPER(Table1[[#This Row],[NAME]])</f>
        <v>Asma Shahzadi</v>
      </c>
      <c r="C30" s="4" t="s">
        <v>43</v>
      </c>
      <c r="D30" s="4" t="s">
        <v>40</v>
      </c>
      <c r="E30" s="30"/>
      <c r="F30" s="4">
        <v>14500</v>
      </c>
      <c r="G30" s="4">
        <v>14500</v>
      </c>
      <c r="H30" s="4">
        <f>Table1[[#This Row],[TOTAL FEE]]-Table1[[#This Row],[PAID]]</f>
        <v>0</v>
      </c>
      <c r="I30" s="4" t="str">
        <f>IF(Table1[[#This Row],[TOTAL]]&lt;1, "Unpaid", IF(Table1[[#This Row],[PAID]]&lt;Table1[[#This Row],[TOTAL FEE]], "Partial Paid", "Paid"))</f>
        <v>Paid</v>
      </c>
      <c r="J30" s="5"/>
      <c r="K30" s="5"/>
      <c r="L30" s="5"/>
      <c r="M30" s="5"/>
      <c r="N30" s="5">
        <v>12500</v>
      </c>
      <c r="O30" s="5"/>
      <c r="P30" s="5">
        <f>SUM(Table1[[#This Row],[MONTHLY FEE]:[EXAMINATION]])</f>
        <v>12500</v>
      </c>
      <c r="Q30" s="5"/>
    </row>
    <row r="31" spans="1:17" s="29" customFormat="1" hidden="1" x14ac:dyDescent="0.25">
      <c r="A31" s="23">
        <v>56</v>
      </c>
      <c r="B31" s="5" t="str">
        <f ca="1">PROPER(Table1[[#This Row],[NAME]])</f>
        <v>Fatima Bibi</v>
      </c>
      <c r="C31" s="4" t="s">
        <v>44</v>
      </c>
      <c r="D31" s="4" t="s">
        <v>40</v>
      </c>
      <c r="E31" s="30"/>
      <c r="F31" s="4">
        <v>14500</v>
      </c>
      <c r="G31" s="4">
        <f>SUM(Table1[[#This Row],[MONTHLY FEE]:[EXAMINATION]])</f>
        <v>14500</v>
      </c>
      <c r="H31" s="4">
        <f>Table1[[#This Row],[TOTAL FEE]]-Table1[[#This Row],[PAID]]</f>
        <v>0</v>
      </c>
      <c r="I31" s="4" t="str">
        <f>IF(Table1[[#This Row],[TOTAL]]&lt;1, "Unpaid", IF(Table1[[#This Row],[PAID]]&lt;Table1[[#This Row],[TOTAL FEE]], "Partial Paid", "Paid"))</f>
        <v>Paid</v>
      </c>
      <c r="J31" s="5"/>
      <c r="K31" s="5"/>
      <c r="L31" s="5"/>
      <c r="M31" s="5"/>
      <c r="N31" s="5">
        <v>14500</v>
      </c>
      <c r="O31" s="5"/>
      <c r="P31" s="5">
        <f>SUM(Table1[[#This Row],[MONTHLY FEE]:[EXAMINATION]])</f>
        <v>14500</v>
      </c>
      <c r="Q31" s="5"/>
    </row>
    <row r="32" spans="1:17" hidden="1" x14ac:dyDescent="0.25">
      <c r="A32" s="23">
        <v>57</v>
      </c>
      <c r="B32" s="5" t="str">
        <f ca="1">PROPER(Table1[[#This Row],[NAME]])</f>
        <v xml:space="preserve">Malaika </v>
      </c>
      <c r="C32" s="4" t="s">
        <v>45</v>
      </c>
      <c r="D32" s="4" t="s">
        <v>40</v>
      </c>
      <c r="E32" s="30"/>
      <c r="F32" s="4">
        <v>14500</v>
      </c>
      <c r="G32" s="4">
        <f>SUM(Table1[[#This Row],[MONTHLY FEE]:[EXAMINATION]])</f>
        <v>14500</v>
      </c>
      <c r="H32" s="4">
        <v>0</v>
      </c>
      <c r="I32" s="4" t="str">
        <f>IF(Table1[[#This Row],[TOTAL]]&lt;1, "Unpaid", IF(Table1[[#This Row],[TOTAL]]&lt;F32, "Partial Paid", "Paid"))</f>
        <v>Paid</v>
      </c>
      <c r="J32" s="5"/>
      <c r="K32" s="5"/>
      <c r="L32" s="5"/>
      <c r="M32" s="5"/>
      <c r="N32" s="5">
        <v>14500</v>
      </c>
      <c r="O32" s="5">
        <v>0</v>
      </c>
      <c r="P32" s="5">
        <f>SUM(Table1[[#This Row],[MONTHLY FEE]:[EXAMINATION]])</f>
        <v>14500</v>
      </c>
      <c r="Q32" s="5"/>
    </row>
    <row r="33" spans="1:17" hidden="1" x14ac:dyDescent="0.25">
      <c r="A33" s="23">
        <v>58</v>
      </c>
      <c r="B33" s="5" t="str">
        <f ca="1">PROPER(Table1[[#This Row],[NAME]])</f>
        <v xml:space="preserve">Amber Nawaz </v>
      </c>
      <c r="C33" s="4" t="s">
        <v>46</v>
      </c>
      <c r="D33" s="4" t="s">
        <v>40</v>
      </c>
      <c r="E33" s="30"/>
      <c r="F33" s="4">
        <v>12000</v>
      </c>
      <c r="G33" s="4">
        <v>12000</v>
      </c>
      <c r="H33" s="4">
        <f>Table1[[#This Row],[TOTAL FEE]]-Table1[[#This Row],[PAID]]</f>
        <v>0</v>
      </c>
      <c r="I33" s="4" t="str">
        <f>IF(Table1[[#This Row],[TOTAL]]&lt;1, "Unpaid", IF(Table1[[#This Row],[PAID]]&lt;Table1[[#This Row],[TOTAL FEE]], "Partial Paid", "Paid"))</f>
        <v>Paid</v>
      </c>
      <c r="J33" s="5"/>
      <c r="K33" s="5"/>
      <c r="L33" s="5"/>
      <c r="M33" s="5"/>
      <c r="N33" s="5">
        <v>10000</v>
      </c>
      <c r="O33" s="5"/>
      <c r="P33" s="5">
        <f>SUM(Table1[[#This Row],[MONTHLY FEE]:[EXAMINATION]])</f>
        <v>10000</v>
      </c>
      <c r="Q33" s="5"/>
    </row>
    <row r="34" spans="1:17" hidden="1" x14ac:dyDescent="0.25">
      <c r="A34" s="23">
        <v>59</v>
      </c>
      <c r="B34" s="5" t="str">
        <f ca="1">PROPER(Table1[[#This Row],[NAME]])</f>
        <v xml:space="preserve">Eman </v>
      </c>
      <c r="C34" s="4" t="s">
        <v>47</v>
      </c>
      <c r="D34" s="4" t="s">
        <v>40</v>
      </c>
      <c r="E34" s="30"/>
      <c r="F34" s="4">
        <v>14500</v>
      </c>
      <c r="G34" s="4">
        <v>14500</v>
      </c>
      <c r="H34" s="4">
        <f>Table1[[#This Row],[TOTAL FEE]]-Table1[[#This Row],[PAID]]</f>
        <v>0</v>
      </c>
      <c r="I34" s="4" t="str">
        <f>IF(Table1[[#This Row],[TOTAL]]&lt;1, "Unpaid", IF(Table1[[#This Row],[PAID]]&lt;Table1[[#This Row],[TOTAL FEE]], "Partial Paid", "Paid"))</f>
        <v>Paid</v>
      </c>
      <c r="J34" s="5"/>
      <c r="K34" s="5"/>
      <c r="L34" s="5"/>
      <c r="M34" s="5"/>
      <c r="N34" s="5">
        <v>12000</v>
      </c>
      <c r="O34" s="5"/>
      <c r="P34" s="5">
        <f>SUM(Table1[[#This Row],[MONTHLY FEE]:[EXAMINATION]])</f>
        <v>12000</v>
      </c>
      <c r="Q34" s="5"/>
    </row>
    <row r="35" spans="1:17" hidden="1" x14ac:dyDescent="0.25">
      <c r="A35" s="23">
        <v>60</v>
      </c>
      <c r="B35" s="5" t="str">
        <f ca="1">PROPER(Table1[[#This Row],[NAME]])</f>
        <v xml:space="preserve">Maryam Shakeel </v>
      </c>
      <c r="C35" s="4" t="s">
        <v>26</v>
      </c>
      <c r="D35" s="4" t="s">
        <v>40</v>
      </c>
      <c r="E35" s="30"/>
      <c r="F35" s="4">
        <v>14500</v>
      </c>
      <c r="G35" s="4">
        <f>SUM(Table1[[#This Row],[MONTHLY FEE]:[EXAMINATION]])</f>
        <v>14500</v>
      </c>
      <c r="H35" s="4">
        <v>0</v>
      </c>
      <c r="I35" s="4" t="str">
        <f>IF(Table1[[#This Row],[TOTAL]]&lt;1, "Unpaid", IF(Table1[[#This Row],[TOTAL]]&lt;F35, "Partial Paid", "Paid"))</f>
        <v>Paid</v>
      </c>
      <c r="J35" s="5"/>
      <c r="K35" s="5"/>
      <c r="L35" s="5"/>
      <c r="M35" s="5"/>
      <c r="N35" s="5">
        <v>14500</v>
      </c>
      <c r="O35" s="5"/>
      <c r="P35" s="5">
        <f>SUM(Table1[[#This Row],[MONTHLY FEE]:[EXAMINATION]])</f>
        <v>14500</v>
      </c>
      <c r="Q35" s="5"/>
    </row>
    <row r="36" spans="1:17" ht="18" hidden="1" customHeight="1" x14ac:dyDescent="0.25">
      <c r="A36" s="23">
        <v>61</v>
      </c>
      <c r="B36" s="5" t="str">
        <f ca="1">PROPER(Table1[[#This Row],[NAME]])</f>
        <v>Zanib</v>
      </c>
      <c r="C36" s="4" t="s">
        <v>48</v>
      </c>
      <c r="D36" s="4" t="s">
        <v>40</v>
      </c>
      <c r="E36" s="30"/>
      <c r="F36" s="4">
        <f>SUM(Table1[[#This Row],[MONTHLY FEE]:[EXAMINATION]])</f>
        <v>13500</v>
      </c>
      <c r="G36" s="4">
        <f>SUM(Table1[[#This Row],[MONTHLY FEE]:[EXAMINATION]])</f>
        <v>13500</v>
      </c>
      <c r="H36" s="4">
        <v>0</v>
      </c>
      <c r="I36" s="4" t="str">
        <f>IF(Table1[[#This Row],[TOTAL]]&lt;1, "Unpaid", IF(Table1[[#This Row],[TOTAL]]&lt;F36, "Partial Paid", "Paid"))</f>
        <v>Paid</v>
      </c>
      <c r="J36" s="5"/>
      <c r="K36" s="5"/>
      <c r="L36" s="5"/>
      <c r="M36" s="5"/>
      <c r="N36" s="5">
        <v>10000</v>
      </c>
      <c r="O36" s="5">
        <v>3500</v>
      </c>
      <c r="P36" s="5">
        <f>SUM(Table1[[#This Row],[MONTHLY FEE]:[EXAMINATION]])</f>
        <v>13500</v>
      </c>
      <c r="Q36" s="5"/>
    </row>
    <row r="37" spans="1:17" hidden="1" x14ac:dyDescent="0.25">
      <c r="A37" s="23">
        <v>62</v>
      </c>
      <c r="B37" s="5" t="str">
        <f ca="1">PROPER(Table1[[#This Row],[NAME]])</f>
        <v>Bilal</v>
      </c>
      <c r="C37" s="4" t="s">
        <v>49</v>
      </c>
      <c r="D37" s="4" t="s">
        <v>40</v>
      </c>
      <c r="E37" s="30"/>
      <c r="F37" s="4">
        <v>14000</v>
      </c>
      <c r="G37" s="4">
        <f>SUM(Table1[[#This Row],[MONTHLY FEE]:[EXAMINATION]])</f>
        <v>14000</v>
      </c>
      <c r="H37" s="4">
        <v>0</v>
      </c>
      <c r="I37" s="4" t="str">
        <f>IF(Table1[[#This Row],[TOTAL]]&lt;1, "Unpaid", IF(Table1[[#This Row],[TOTAL]]&lt;F37, "Partial Paid", "Paid"))</f>
        <v>Paid</v>
      </c>
      <c r="J37" s="5"/>
      <c r="K37" s="5"/>
      <c r="L37" s="5"/>
      <c r="M37" s="5"/>
      <c r="N37" s="5">
        <v>14000</v>
      </c>
      <c r="O37" s="5"/>
      <c r="P37" s="5">
        <f>SUM(Table1[[#This Row],[MONTHLY FEE]:[EXAMINATION]])</f>
        <v>14000</v>
      </c>
      <c r="Q37" s="5"/>
    </row>
    <row r="38" spans="1:17" hidden="1" x14ac:dyDescent="0.25">
      <c r="A38" s="23">
        <v>63</v>
      </c>
      <c r="B38" s="5" t="str">
        <f ca="1">PROPER(Table1[[#This Row],[NAME]])</f>
        <v xml:space="preserve">M Ikhlas </v>
      </c>
      <c r="C38" s="4" t="s">
        <v>50</v>
      </c>
      <c r="D38" s="4" t="s">
        <v>40</v>
      </c>
      <c r="E38" s="30"/>
      <c r="F38" s="4">
        <v>10000</v>
      </c>
      <c r="G38" s="4">
        <f>SUM(Table1[[#This Row],[MONTHLY FEE]:[EXAMINATION]])</f>
        <v>10000</v>
      </c>
      <c r="H38" s="4">
        <f>Table1[[#This Row],[TOTAL FEE]]-Table1[[#This Row],[PAID]]</f>
        <v>0</v>
      </c>
      <c r="I38" s="4" t="str">
        <f>IF(Table1[[#This Row],[TOTAL]]&lt;1, "Unpaid", IF(Table1[[#This Row],[TOTAL]]&lt;F38, "Partial Paid", "Paid"))</f>
        <v>Paid</v>
      </c>
      <c r="J38" s="5"/>
      <c r="K38" s="5"/>
      <c r="L38" s="5"/>
      <c r="M38" s="5"/>
      <c r="N38" s="5">
        <v>6000</v>
      </c>
      <c r="O38" s="5">
        <v>4000</v>
      </c>
      <c r="P38" s="5">
        <f>SUM(Table1[[#This Row],[MONTHLY FEE]:[EXAMINATION]])</f>
        <v>10000</v>
      </c>
      <c r="Q38" s="5"/>
    </row>
    <row r="39" spans="1:17" hidden="1" x14ac:dyDescent="0.25">
      <c r="A39" s="23">
        <v>64</v>
      </c>
      <c r="B39" s="5" t="str">
        <f ca="1">PROPER(Table1[[#This Row],[NAME]])</f>
        <v>Saad Mumtaz</v>
      </c>
      <c r="C39" s="4" t="s">
        <v>51</v>
      </c>
      <c r="D39" s="4" t="s">
        <v>40</v>
      </c>
      <c r="E39" s="30"/>
      <c r="F39" s="4">
        <v>10000</v>
      </c>
      <c r="G39" s="4">
        <f>SUM(Table1[[#This Row],[MONTHLY FEE]:[EXAMINATION]])</f>
        <v>10000</v>
      </c>
      <c r="H39" s="4">
        <f>Table1[[#This Row],[TOTAL FEE]]-Table1[[#This Row],[PAID]]</f>
        <v>0</v>
      </c>
      <c r="I39" s="4" t="str">
        <f>IF(Table1[[#This Row],[TOTAL]]&lt;1, "Unpaid", IF(Table1[[#This Row],[TOTAL]]&lt;F39, "Partial Paid", "Paid"))</f>
        <v>Paid</v>
      </c>
      <c r="J39" s="5"/>
      <c r="K39" s="5"/>
      <c r="L39" s="5"/>
      <c r="M39" s="5"/>
      <c r="N39" s="5">
        <v>6000</v>
      </c>
      <c r="O39" s="5">
        <v>4000</v>
      </c>
      <c r="P39" s="5">
        <f>SUM(Table1[[#This Row],[MONTHLY FEE]:[EXAMINATION]])</f>
        <v>10000</v>
      </c>
      <c r="Q39" s="5"/>
    </row>
    <row r="40" spans="1:17" hidden="1" x14ac:dyDescent="0.25">
      <c r="A40" s="23">
        <v>65</v>
      </c>
      <c r="B40" s="5" t="str">
        <f ca="1">PROPER(Table1[[#This Row],[NAME]])</f>
        <v>Mubashir</v>
      </c>
      <c r="C40" s="4" t="s">
        <v>52</v>
      </c>
      <c r="D40" s="4" t="s">
        <v>40</v>
      </c>
      <c r="E40" s="30"/>
      <c r="F40" s="4">
        <v>10000</v>
      </c>
      <c r="G40" s="4">
        <f>SUM(Table1[[#This Row],[MONTHLY FEE]:[EXAMINATION]])</f>
        <v>10000</v>
      </c>
      <c r="H40" s="4">
        <v>0</v>
      </c>
      <c r="I40" s="4" t="str">
        <f>IF(Table1[[#This Row],[TOTAL]]&lt;1, "Unpaid", IF(Table1[[#This Row],[TOTAL]]&lt;F40, "Partial Paid", "Paid"))</f>
        <v>Paid</v>
      </c>
      <c r="J40" s="5"/>
      <c r="K40" s="5"/>
      <c r="L40" s="5"/>
      <c r="M40" s="5"/>
      <c r="N40" s="5">
        <v>10000</v>
      </c>
      <c r="O40" s="5"/>
      <c r="P40" s="5">
        <f>SUM(Table1[[#This Row],[MONTHLY FEE]:[EXAMINATION]])</f>
        <v>10000</v>
      </c>
      <c r="Q40" s="5"/>
    </row>
    <row r="41" spans="1:17" hidden="1" x14ac:dyDescent="0.25">
      <c r="A41" s="23">
        <v>66</v>
      </c>
      <c r="B41" s="5" t="str">
        <f ca="1">PROPER(Table1[[#This Row],[NAME]])</f>
        <v>Muhamad Zaid</v>
      </c>
      <c r="C41" s="4"/>
      <c r="D41" s="4" t="s">
        <v>40</v>
      </c>
      <c r="E41" s="30"/>
      <c r="F41" s="4">
        <v>10000</v>
      </c>
      <c r="G41" s="4">
        <f>SUM(Table1[[#This Row],[MONTHLY FEE]:[EXAMINATION]])</f>
        <v>10000</v>
      </c>
      <c r="H41" s="4">
        <f>Table1[[#This Row],[TOTAL FEE]]-Table1[[#This Row],[PAID]]</f>
        <v>0</v>
      </c>
      <c r="I41" s="4" t="str">
        <f>IF(Table1[[#This Row],[TOTAL]]&lt;1, "Unpaid", IF(Table1[[#This Row],[TOTAL]]&lt;F41, "Partial Paid", "Paid"))</f>
        <v>Paid</v>
      </c>
      <c r="J41" s="5"/>
      <c r="K41" s="5"/>
      <c r="L41" s="5"/>
      <c r="M41" s="5"/>
      <c r="N41" s="5">
        <v>6000</v>
      </c>
      <c r="O41" s="5">
        <v>4000</v>
      </c>
      <c r="P41" s="5">
        <f>SUM(Table1[[#This Row],[MONTHLY FEE]:[EXAMINATION]])</f>
        <v>10000</v>
      </c>
      <c r="Q41" s="5"/>
    </row>
    <row r="42" spans="1:17" hidden="1" x14ac:dyDescent="0.25">
      <c r="A42" s="23">
        <v>67</v>
      </c>
      <c r="B42" s="32" t="str">
        <f ca="1">PROPER(Table1[[#This Row],[NAME]])</f>
        <v>Sami Ur Rahman</v>
      </c>
      <c r="C42" s="4" t="s">
        <v>53</v>
      </c>
      <c r="D42" s="4" t="s">
        <v>40</v>
      </c>
      <c r="E42" s="30"/>
      <c r="F42" s="4">
        <v>14500</v>
      </c>
      <c r="G42" s="4">
        <v>14000</v>
      </c>
      <c r="H42" s="4">
        <f>Table1[[#This Row],[TOTAL FEE]]-Table1[[#This Row],[PAID]]</f>
        <v>500</v>
      </c>
      <c r="I42" s="4" t="str">
        <f>IF(Table1[[#This Row],[TOTAL]]&lt;1, "Unpaid", IF(Table1[[#This Row],[PAID]]&lt;Table1[[#This Row],[TOTAL FEE]], "Partial Paid", "Paid"))</f>
        <v>Partial Paid</v>
      </c>
      <c r="J42" s="5"/>
      <c r="K42" s="5"/>
      <c r="L42" s="5"/>
      <c r="M42" s="5"/>
      <c r="N42" s="5">
        <v>10000</v>
      </c>
      <c r="O42" s="5">
        <v>3500</v>
      </c>
      <c r="P42" s="5">
        <f>SUM(Table1[[#This Row],[MONTHLY FEE]:[EXAMINATION]])</f>
        <v>13500</v>
      </c>
      <c r="Q42" s="5"/>
    </row>
    <row r="43" spans="1:17" hidden="1" x14ac:dyDescent="0.25">
      <c r="A43" s="23">
        <v>69</v>
      </c>
      <c r="B43" s="5" t="str">
        <f ca="1">PROPER(Table1[[#This Row],[NAME]])</f>
        <v>Ahmed Ali</v>
      </c>
      <c r="C43" s="4" t="s">
        <v>197</v>
      </c>
      <c r="D43" s="4" t="s">
        <v>40</v>
      </c>
      <c r="E43" s="30"/>
      <c r="F43" s="4">
        <v>14500</v>
      </c>
      <c r="G43" s="4">
        <v>14500</v>
      </c>
      <c r="H43" s="4">
        <f>Table1[[#This Row],[TOTAL FEE]]-Table1[[#This Row],[PAID]]</f>
        <v>0</v>
      </c>
      <c r="I43" s="4" t="str">
        <f>IF(Table1[[#This Row],[TOTAL]]&lt;1, "Unpaid", IF(Table1[[#This Row],[PAID]]&lt;Table1[[#This Row],[TOTAL FEE]], "Partial Paid", "Paid"))</f>
        <v>Paid</v>
      </c>
      <c r="J43" s="5"/>
      <c r="K43" s="5"/>
      <c r="L43" s="5"/>
      <c r="M43" s="5"/>
      <c r="N43" s="5">
        <v>1500</v>
      </c>
      <c r="O43" s="5">
        <v>3500</v>
      </c>
      <c r="P43" s="5">
        <f>SUM(Table1[[#This Row],[MONTHLY FEE]:[EXAMINATION]])</f>
        <v>5000</v>
      </c>
      <c r="Q43" s="5"/>
    </row>
    <row r="44" spans="1:17" hidden="1" x14ac:dyDescent="0.25">
      <c r="A44" s="23">
        <v>70</v>
      </c>
      <c r="B44" s="5" t="str">
        <f ca="1">PROPER(Table1[[#This Row],[NAME]])</f>
        <v>Fahad Khan Swati</v>
      </c>
      <c r="C44" s="4" t="s">
        <v>54</v>
      </c>
      <c r="D44" s="4" t="s">
        <v>40</v>
      </c>
      <c r="E44" s="30"/>
      <c r="F44" s="4">
        <v>14500</v>
      </c>
      <c r="G44" s="4">
        <v>14500</v>
      </c>
      <c r="H44" s="4">
        <f>Table1[[#This Row],[TOTAL FEE]]-Table1[[#This Row],[PAID]]</f>
        <v>0</v>
      </c>
      <c r="I44" s="4" t="str">
        <f>IF(Table1[[#This Row],[TOTAL]]&lt;1, "Unpaid", IF(Table1[[#This Row],[PAID]]&lt;Table1[[#This Row],[TOTAL FEE]], "Partial Paid", "Paid"))</f>
        <v>Paid</v>
      </c>
      <c r="J44" s="5"/>
      <c r="K44" s="5"/>
      <c r="L44" s="5"/>
      <c r="M44" s="5"/>
      <c r="N44" s="5">
        <v>12500</v>
      </c>
      <c r="O44" s="5"/>
      <c r="P44" s="5">
        <f>SUM(Table1[[#This Row],[MONTHLY FEE]:[EXAMINATION]])</f>
        <v>12500</v>
      </c>
      <c r="Q44" s="5"/>
    </row>
    <row r="45" spans="1:17" hidden="1" x14ac:dyDescent="0.25">
      <c r="A45" s="23">
        <v>71</v>
      </c>
      <c r="B45" s="5" t="str">
        <f ca="1">PROPER(Table1[[#This Row],[NAME]])</f>
        <v>Abu Bakar</v>
      </c>
      <c r="C45" s="4" t="s">
        <v>55</v>
      </c>
      <c r="D45" s="4" t="s">
        <v>40</v>
      </c>
      <c r="E45" s="30"/>
      <c r="F45" s="4">
        <v>16000</v>
      </c>
      <c r="G45" s="4">
        <v>16000</v>
      </c>
      <c r="H45" s="4">
        <f>Table1[[#This Row],[TOTAL FEE]]-Table1[[#This Row],[PAID]]</f>
        <v>0</v>
      </c>
      <c r="I45" s="4" t="str">
        <f>IF(Table1[[#This Row],[TOTAL]]&lt;1, "Unpaid", IF(Table1[[#This Row],[PAID]]&lt;Table1[[#This Row],[TOTAL FEE]], "Partial Paid", "Paid"))</f>
        <v>Paid</v>
      </c>
      <c r="J45" s="5"/>
      <c r="K45" s="5"/>
      <c r="L45" s="5"/>
      <c r="M45" s="5"/>
      <c r="N45" s="5">
        <v>9000</v>
      </c>
      <c r="O45" s="5">
        <v>3500</v>
      </c>
      <c r="P45" s="5">
        <f>SUM(Table1[[#This Row],[MONTHLY FEE]:[EXAMINATION]])</f>
        <v>12500</v>
      </c>
      <c r="Q45" s="5"/>
    </row>
    <row r="46" spans="1:17" hidden="1" x14ac:dyDescent="0.25">
      <c r="A46" s="23">
        <v>72</v>
      </c>
      <c r="B46" s="5" t="str">
        <f ca="1">PROPER(Table1[[#This Row],[NAME]])</f>
        <v>Ibrahim</v>
      </c>
      <c r="C46" s="4" t="s">
        <v>56</v>
      </c>
      <c r="D46" s="4" t="s">
        <v>40</v>
      </c>
      <c r="E46" s="30"/>
      <c r="F46" s="4">
        <v>14500</v>
      </c>
      <c r="G46" s="4">
        <f>Table1[[#This Row],[TOTAL]]</f>
        <v>14500</v>
      </c>
      <c r="H46" s="4">
        <f>Table1[[#This Row],[TOTAL FEE]]-Table1[[#This Row],[PAID]]</f>
        <v>0</v>
      </c>
      <c r="I46" s="4" t="str">
        <f>IF(Table1[[#This Row],[TOTAL]]&lt;1, "Unpaid", IF(Table1[[#This Row],[PAID]]&lt;Table1[[#This Row],[TOTAL FEE]], "Partial Paid", "Paid"))</f>
        <v>Paid</v>
      </c>
      <c r="J46" s="5"/>
      <c r="K46" s="5"/>
      <c r="L46" s="5"/>
      <c r="M46" s="5"/>
      <c r="N46" s="5">
        <v>11000</v>
      </c>
      <c r="O46" s="5">
        <v>3500</v>
      </c>
      <c r="P46" s="5">
        <f>SUM(Table1[[#This Row],[MONTHLY FEE]:[EXAMINATION]])</f>
        <v>14500</v>
      </c>
      <c r="Q46" s="5"/>
    </row>
    <row r="47" spans="1:17" hidden="1" x14ac:dyDescent="0.25">
      <c r="A47" s="23">
        <v>73</v>
      </c>
      <c r="B47" s="5" t="str">
        <f ca="1">PROPER(Table1[[#This Row],[NAME]])</f>
        <v>Kaleem Ullah</v>
      </c>
      <c r="C47" s="4" t="s">
        <v>57</v>
      </c>
      <c r="D47" s="4" t="s">
        <v>40</v>
      </c>
      <c r="E47" s="30"/>
      <c r="F47" s="4">
        <v>9000</v>
      </c>
      <c r="G47" s="4">
        <f>Table1[[#This Row],[TOTAL]]</f>
        <v>9000</v>
      </c>
      <c r="H47" s="4">
        <f>Table1[[#This Row],[TOTAL FEE]]-Table1[[#This Row],[PAID]]</f>
        <v>0</v>
      </c>
      <c r="I47" s="4" t="str">
        <f>IF(Table1[[#This Row],[TOTAL]]&lt;1, "Unpaid", IF(Table1[[#This Row],[PAID]]&lt;Table1[[#This Row],[TOTAL FEE]], "Partial Paid", "Paid"))</f>
        <v>Paid</v>
      </c>
      <c r="J47" s="5"/>
      <c r="K47" s="5"/>
      <c r="L47" s="5"/>
      <c r="M47" s="5"/>
      <c r="N47" s="5">
        <v>9000</v>
      </c>
      <c r="O47" s="5"/>
      <c r="P47" s="5">
        <f>SUM(Table1[[#This Row],[MONTHLY FEE]:[EXAMINATION]])</f>
        <v>9000</v>
      </c>
      <c r="Q47" s="5"/>
    </row>
    <row r="48" spans="1:17" hidden="1" x14ac:dyDescent="0.25">
      <c r="A48" s="23">
        <v>74</v>
      </c>
      <c r="B48" s="5" t="str">
        <f ca="1">PROPER(Table1[[#This Row],[NAME]])</f>
        <v xml:space="preserve">Waleed </v>
      </c>
      <c r="C48" s="4" t="s">
        <v>58</v>
      </c>
      <c r="D48" s="4" t="s">
        <v>40</v>
      </c>
      <c r="E48" s="30"/>
      <c r="F48" s="4">
        <v>5500</v>
      </c>
      <c r="G48" s="4">
        <f>SUM(Table1[[#This Row],[MONTHLY FEE]:[EXAMINATION]])</f>
        <v>5500</v>
      </c>
      <c r="H48" s="4">
        <v>0</v>
      </c>
      <c r="I48" s="4" t="str">
        <f>IF(Table1[[#This Row],[TOTAL]]&lt;1, "Unpaid", IF(Table1[[#This Row],[TOTAL]]&lt;F48, "Partial Paid", "Paid"))</f>
        <v>Paid</v>
      </c>
      <c r="J48" s="5"/>
      <c r="K48" s="5"/>
      <c r="L48" s="5"/>
      <c r="M48" s="5"/>
      <c r="N48" s="5">
        <v>2000</v>
      </c>
      <c r="O48" s="5">
        <v>3500</v>
      </c>
      <c r="P48" s="5">
        <f>SUM(Table1[[#This Row],[MONTHLY FEE]:[EXAMINATION]])</f>
        <v>5500</v>
      </c>
      <c r="Q48" s="5"/>
    </row>
    <row r="49" spans="1:17" hidden="1" x14ac:dyDescent="0.25">
      <c r="A49" s="23">
        <v>75</v>
      </c>
      <c r="B49" s="5" t="str">
        <f ca="1">PROPER(Table1[[#This Row],[NAME]])</f>
        <v xml:space="preserve">Abdul Mohaiz </v>
      </c>
      <c r="C49" s="4" t="s">
        <v>59</v>
      </c>
      <c r="D49" s="4" t="s">
        <v>40</v>
      </c>
      <c r="E49" s="30"/>
      <c r="F49" s="4">
        <v>5800</v>
      </c>
      <c r="G49" s="4">
        <f>Table1[[#This Row],[TOTAL]]</f>
        <v>5800</v>
      </c>
      <c r="H49" s="4">
        <f>Table1[[#This Row],[TOTAL FEE]]-Table1[[#This Row],[PAID]]</f>
        <v>0</v>
      </c>
      <c r="I49" s="4" t="str">
        <f>IF(Table1[[#This Row],[TOTAL]]&lt;1, "Unpaid", IF(Table1[[#This Row],[PAID]]&lt;Table1[[#This Row],[TOTAL FEE]], "Partial Paid", "Paid"))</f>
        <v>Paid</v>
      </c>
      <c r="J49" s="5"/>
      <c r="K49" s="5"/>
      <c r="L49" s="5"/>
      <c r="M49" s="5"/>
      <c r="N49" s="5">
        <v>2800</v>
      </c>
      <c r="O49" s="5">
        <v>3000</v>
      </c>
      <c r="P49" s="5">
        <f>SUM(Table1[[#This Row],[MONTHLY FEE]:[EXAMINATION]])</f>
        <v>5800</v>
      </c>
      <c r="Q49" s="5"/>
    </row>
    <row r="50" spans="1:17" hidden="1" x14ac:dyDescent="0.25">
      <c r="A50" s="23">
        <v>76</v>
      </c>
      <c r="B50" s="32" t="str">
        <f ca="1">PROPER(Table1[[#This Row],[NAME]])</f>
        <v>Imran Khan</v>
      </c>
      <c r="C50" s="4" t="s">
        <v>60</v>
      </c>
      <c r="D50" s="4" t="s">
        <v>40</v>
      </c>
      <c r="E50" s="30"/>
      <c r="F50" s="4">
        <v>14500</v>
      </c>
      <c r="G50" s="4">
        <f>Table1[[#This Row],[TOTAL]]</f>
        <v>14000</v>
      </c>
      <c r="H50" s="4">
        <f>Table1[[#This Row],[TOTAL FEE]]-Table1[[#This Row],[PAID]]</f>
        <v>500</v>
      </c>
      <c r="I50" s="4" t="str">
        <f>IF(Table1[[#This Row],[TOTAL]]&lt;1, "Unpaid", IF(Table1[[#This Row],[PAID]]&lt;Table1[[#This Row],[TOTAL FEE]], "Partial Paid", "Paid"))</f>
        <v>Partial Paid</v>
      </c>
      <c r="J50" s="5"/>
      <c r="K50" s="5"/>
      <c r="L50" s="5"/>
      <c r="M50" s="5"/>
      <c r="N50" s="5">
        <v>9500</v>
      </c>
      <c r="O50" s="5">
        <v>4500</v>
      </c>
      <c r="P50" s="5">
        <f>SUM(Table1[[#This Row],[MONTHLY FEE]:[EXAMINATION]])</f>
        <v>14000</v>
      </c>
      <c r="Q50" s="5"/>
    </row>
    <row r="51" spans="1:17" hidden="1" x14ac:dyDescent="0.25">
      <c r="A51" s="23">
        <v>77</v>
      </c>
      <c r="B51" s="5" t="str">
        <f ca="1">PROPER(Table1[[#This Row],[NAME]])</f>
        <v>Ahmed Ali</v>
      </c>
      <c r="C51" s="4" t="s">
        <v>61</v>
      </c>
      <c r="D51" s="4" t="s">
        <v>40</v>
      </c>
      <c r="E51" s="30"/>
      <c r="F51" s="4">
        <v>14500</v>
      </c>
      <c r="G51" s="4">
        <f>SUM(Table1[[#This Row],[MONTHLY FEE]:[EXAMINATION]])</f>
        <v>14500</v>
      </c>
      <c r="H51" s="4">
        <f>Table1[[#This Row],[TOTAL FEE]]-Table1[[#This Row],[PAID]]</f>
        <v>0</v>
      </c>
      <c r="I51" s="4" t="str">
        <f>IF(Table1[[#This Row],[TOTAL]]&lt;1, "Unpaid", IF(Table1[[#This Row],[PAID]]&lt;Table1[[#This Row],[TOTAL FEE]], "Partial Paid", "Paid"))</f>
        <v>Paid</v>
      </c>
      <c r="J51" s="5"/>
      <c r="K51" s="5"/>
      <c r="L51" s="5"/>
      <c r="M51" s="5"/>
      <c r="N51" s="5">
        <v>10500</v>
      </c>
      <c r="O51" s="5">
        <v>4000</v>
      </c>
      <c r="P51" s="5">
        <f>SUM(Table1[[#This Row],[MONTHLY FEE]:[EXAMINATION]])</f>
        <v>14500</v>
      </c>
      <c r="Q51" s="5"/>
    </row>
    <row r="52" spans="1:17" hidden="1" x14ac:dyDescent="0.25">
      <c r="A52" s="23">
        <v>79</v>
      </c>
      <c r="B52" s="5" t="str">
        <f ca="1">PROPER(Table1[[#This Row],[NAME]])</f>
        <v>Muhammad Rehan</v>
      </c>
      <c r="C52" s="4"/>
      <c r="D52" s="4" t="s">
        <v>40</v>
      </c>
      <c r="E52" s="30"/>
      <c r="F52" s="4">
        <v>15500</v>
      </c>
      <c r="G52" s="4">
        <f>Table1[[#This Row],[TOTAL]]</f>
        <v>15500</v>
      </c>
      <c r="H52" s="4">
        <f>Table1[[#This Row],[TOTAL FEE]]-Table1[[#This Row],[PAID]]</f>
        <v>0</v>
      </c>
      <c r="I52" s="4" t="str">
        <f>IF(Table1[[#This Row],[TOTAL]]&lt;1, "Unpaid", IF(Table1[[#This Row],[PAID]]&lt;Table1[[#This Row],[TOTAL FEE]], "Partial Paid", "Paid"))</f>
        <v>Paid</v>
      </c>
      <c r="J52" s="5"/>
      <c r="K52" s="5"/>
      <c r="L52" s="5"/>
      <c r="M52" s="5"/>
      <c r="N52" s="5">
        <v>12000</v>
      </c>
      <c r="O52" s="5">
        <v>3500</v>
      </c>
      <c r="P52" s="5">
        <f>SUM(Table1[[#This Row],[MONTHLY FEE]:[EXAMINATION]])</f>
        <v>15500</v>
      </c>
      <c r="Q52" s="5"/>
    </row>
    <row r="53" spans="1:17" hidden="1" x14ac:dyDescent="0.25">
      <c r="A53" s="23">
        <v>81</v>
      </c>
      <c r="B53" s="5" t="str">
        <f ca="1">PROPER(Table1[[#This Row],[NAME]])</f>
        <v>Mujeeb Ullah</v>
      </c>
      <c r="C53" s="4" t="s">
        <v>62</v>
      </c>
      <c r="D53" s="4" t="s">
        <v>40</v>
      </c>
      <c r="E53" s="30"/>
      <c r="F53" s="4">
        <v>14500</v>
      </c>
      <c r="G53" s="4">
        <v>14500</v>
      </c>
      <c r="H53" s="4">
        <f>Table1[[#This Row],[TOTAL FEE]]-Table1[[#This Row],[PAID]]</f>
        <v>0</v>
      </c>
      <c r="I53" s="4" t="str">
        <f>IF(Table1[[#This Row],[TOTAL]]&lt;1, "Unpaid", IF(Table1[[#This Row],[PAID]]&lt;Table1[[#This Row],[TOTAL FEE]], "Partial Paid", "Paid"))</f>
        <v>Paid</v>
      </c>
      <c r="J53" s="5"/>
      <c r="K53" s="5"/>
      <c r="L53" s="5"/>
      <c r="M53" s="5"/>
      <c r="N53" s="5">
        <v>14500</v>
      </c>
      <c r="O53" s="5"/>
      <c r="P53" s="5">
        <f>SUM(Table1[[#This Row],[MONTHLY FEE]:[EXAMINATION]])</f>
        <v>14500</v>
      </c>
      <c r="Q53" s="5"/>
    </row>
    <row r="54" spans="1:17" hidden="1" x14ac:dyDescent="0.25">
      <c r="A54" s="23">
        <v>82</v>
      </c>
      <c r="B54" s="5" t="str">
        <f ca="1">PROPER(Table1[[#This Row],[NAME]])</f>
        <v xml:space="preserve">Ali Haider </v>
      </c>
      <c r="C54" s="4"/>
      <c r="D54" s="4" t="s">
        <v>40</v>
      </c>
      <c r="E54" s="30"/>
      <c r="F54" s="4">
        <v>14500</v>
      </c>
      <c r="G54" s="4">
        <v>14500</v>
      </c>
      <c r="H54" s="4">
        <f>Table1[[#This Row],[TOTAL FEE]]-Table1[[#This Row],[PAID]]</f>
        <v>0</v>
      </c>
      <c r="I54" s="4" t="str">
        <f>IF(Table1[[#This Row],[TOTAL]]&lt;1, "Unpaid", IF(Table1[[#This Row],[PAID]]&lt;Table1[[#This Row],[TOTAL FEE]], "Partial Paid", "Paid"))</f>
        <v>Paid</v>
      </c>
      <c r="J54" s="5"/>
      <c r="K54" s="5"/>
      <c r="L54" s="5"/>
      <c r="M54" s="5"/>
      <c r="N54" s="5">
        <v>7500</v>
      </c>
      <c r="O54" s="5"/>
      <c r="P54" s="5">
        <f>SUM(Table1[[#This Row],[MONTHLY FEE]:[EXAMINATION]])</f>
        <v>7500</v>
      </c>
      <c r="Q54" s="5"/>
    </row>
    <row r="55" spans="1:17" hidden="1" x14ac:dyDescent="0.25">
      <c r="A55" s="23">
        <v>83</v>
      </c>
      <c r="B55" s="32" t="str">
        <f ca="1">PROPER(Table1[[#This Row],[NAME]])</f>
        <v xml:space="preserve">Ashir </v>
      </c>
      <c r="C55" s="4"/>
      <c r="D55" s="4" t="s">
        <v>40</v>
      </c>
      <c r="E55" s="30"/>
      <c r="F55" s="4">
        <v>14500</v>
      </c>
      <c r="G55" s="4">
        <v>14000</v>
      </c>
      <c r="H55" s="4">
        <f>Table1[[#This Row],[TOTAL FEE]]-Table1[[#This Row],[PAID]]</f>
        <v>500</v>
      </c>
      <c r="I55" s="4" t="str">
        <f>IF(Table1[[#This Row],[TOTAL]]&lt;1, "Unpaid", IF(Table1[[#This Row],[PAID]]&lt;Table1[[#This Row],[TOTAL FEE]], "Partial Paid", "Paid"))</f>
        <v>Partial Paid</v>
      </c>
      <c r="J55" s="5"/>
      <c r="K55" s="5"/>
      <c r="L55" s="5"/>
      <c r="M55" s="5"/>
      <c r="N55" s="5">
        <v>10000</v>
      </c>
      <c r="O55" s="5"/>
      <c r="P55" s="5">
        <f>SUM(Table1[[#This Row],[MONTHLY FEE]:[EXAMINATION]])</f>
        <v>10000</v>
      </c>
      <c r="Q55" s="5"/>
    </row>
    <row r="56" spans="1:17" hidden="1" x14ac:dyDescent="0.25">
      <c r="A56" s="23">
        <v>84</v>
      </c>
      <c r="B56" s="5" t="str">
        <f ca="1">PROPER(Table1[[#This Row],[NAME]])</f>
        <v>Ali Hassan</v>
      </c>
      <c r="C56" s="4"/>
      <c r="D56" s="4" t="s">
        <v>40</v>
      </c>
      <c r="E56" s="30"/>
      <c r="F56" s="4">
        <v>14500</v>
      </c>
      <c r="G56" s="4">
        <f>SUM(Table1[[#This Row],[MONTHLY FEE]:[EXAMINATION]])</f>
        <v>14500</v>
      </c>
      <c r="H56" s="4">
        <f>Table1[[#This Row],[TOTAL FEE]]-Table1[[#This Row],[PAID]]</f>
        <v>0</v>
      </c>
      <c r="I56" s="4" t="str">
        <f>IF(Table1[[#This Row],[TOTAL]]&lt;1, "Unpaid", IF(Table1[[#This Row],[PAID]]&lt;Table1[[#This Row],[TOTAL FEE]], "Partial Paid", "Paid"))</f>
        <v>Paid</v>
      </c>
      <c r="J56" s="5"/>
      <c r="K56" s="5"/>
      <c r="L56" s="5"/>
      <c r="M56" s="5"/>
      <c r="N56" s="5">
        <v>14500</v>
      </c>
      <c r="O56" s="5"/>
      <c r="P56" s="5">
        <f>SUM(Table1[[#This Row],[MONTHLY FEE]:[EXAMINATION]])</f>
        <v>14500</v>
      </c>
      <c r="Q56" s="5"/>
    </row>
    <row r="57" spans="1:17" hidden="1" x14ac:dyDescent="0.25">
      <c r="A57" s="23">
        <v>85</v>
      </c>
      <c r="B57" s="5" t="str">
        <f ca="1">PROPER(Table1[[#This Row],[NAME]])</f>
        <v>Gul Nawaz</v>
      </c>
      <c r="C57" s="4"/>
      <c r="D57" s="4" t="s">
        <v>40</v>
      </c>
      <c r="E57" s="30"/>
      <c r="F57" s="4">
        <v>16500</v>
      </c>
      <c r="G57" s="4">
        <f>SUM(Table1[[#This Row],[MONTHLY FEE]:[EXAMINATION]])</f>
        <v>16500</v>
      </c>
      <c r="H57" s="4">
        <f>Table1[[#This Row],[TOTAL FEE]]-Table1[[#This Row],[PAID]]</f>
        <v>0</v>
      </c>
      <c r="I57" s="4" t="str">
        <f>IF(Table1[[#This Row],[TOTAL]]&lt;1, "Unpaid", IF(Table1[[#This Row],[TOTAL]]&lt;F57, "Partial Paid", "Paid"))</f>
        <v>Paid</v>
      </c>
      <c r="J57" s="5"/>
      <c r="K57" s="5"/>
      <c r="L57" s="5"/>
      <c r="M57" s="5"/>
      <c r="N57" s="5">
        <v>12500</v>
      </c>
      <c r="O57" s="5">
        <v>4000</v>
      </c>
      <c r="P57" s="5">
        <f>SUM(Table1[[#This Row],[MONTHLY FEE]:[EXAMINATION]])</f>
        <v>16500</v>
      </c>
      <c r="Q57" s="5"/>
    </row>
    <row r="58" spans="1:17" hidden="1" x14ac:dyDescent="0.25">
      <c r="A58" s="23">
        <v>86</v>
      </c>
      <c r="B58" s="5" t="str">
        <f ca="1">PROPER(Table1[[#This Row],[NAME]])</f>
        <v>Mudassar</v>
      </c>
      <c r="C58" s="4"/>
      <c r="D58" s="4" t="s">
        <v>40</v>
      </c>
      <c r="E58" s="30"/>
      <c r="F58" s="4">
        <v>14000</v>
      </c>
      <c r="G58" s="4">
        <f>SUM(Table1[[#This Row],[MONTHLY FEE]:[EXAMINATION]])</f>
        <v>14000</v>
      </c>
      <c r="H58" s="4">
        <f>Table1[[#This Row],[TOTAL FEE]]-Table1[[#This Row],[PAID]]</f>
        <v>0</v>
      </c>
      <c r="I58" s="4" t="str">
        <f>IF(Table1[[#This Row],[TOTAL]]&lt;1, "Unpaid", IF(Table1[[#This Row],[TOTAL]]&lt;F58, "Partial Paid", "Paid"))</f>
        <v>Paid</v>
      </c>
      <c r="J58" s="5"/>
      <c r="K58" s="5"/>
      <c r="L58" s="5"/>
      <c r="M58" s="5"/>
      <c r="N58" s="5">
        <v>10000</v>
      </c>
      <c r="O58" s="5">
        <v>4000</v>
      </c>
      <c r="P58" s="5">
        <f>SUM(Table1[[#This Row],[MONTHLY FEE]:[EXAMINATION]])</f>
        <v>14000</v>
      </c>
      <c r="Q58" s="5"/>
    </row>
    <row r="59" spans="1:17" hidden="1" x14ac:dyDescent="0.25">
      <c r="A59" s="23">
        <v>87</v>
      </c>
      <c r="B59" s="5" t="str">
        <f ca="1">PROPER(Table1[[#This Row],[NAME]])</f>
        <v>Sami Ullah</v>
      </c>
      <c r="C59" s="4" t="s">
        <v>63</v>
      </c>
      <c r="D59" s="4" t="s">
        <v>40</v>
      </c>
      <c r="E59" s="30"/>
      <c r="F59" s="4">
        <v>11500</v>
      </c>
      <c r="G59" s="4">
        <f>Table1[[#This Row],[TOTAL]]</f>
        <v>11500</v>
      </c>
      <c r="H59" s="4">
        <f>Table1[[#This Row],[TOTAL FEE]]-Table1[[#This Row],[PAID]]</f>
        <v>0</v>
      </c>
      <c r="I59" s="4" t="str">
        <f>IF(Table1[[#This Row],[TOTAL]]&lt;1, "Unpaid", IF(Table1[[#This Row],[PAID]]&lt;Table1[[#This Row],[TOTAL FEE]], "Partial Paid", "Paid"))</f>
        <v>Paid</v>
      </c>
      <c r="J59" s="5"/>
      <c r="K59" s="5"/>
      <c r="L59" s="5"/>
      <c r="M59" s="5"/>
      <c r="N59" s="5">
        <v>8000</v>
      </c>
      <c r="O59" s="5">
        <v>3500</v>
      </c>
      <c r="P59" s="5">
        <f>SUM(Table1[[#This Row],[MONTHLY FEE]:[EXAMINATION]])</f>
        <v>11500</v>
      </c>
      <c r="Q59" s="5"/>
    </row>
    <row r="60" spans="1:17" hidden="1" x14ac:dyDescent="0.25">
      <c r="A60" s="23">
        <v>88</v>
      </c>
      <c r="B60" s="5" t="str">
        <f ca="1">PROPER(Table1[[#This Row],[NAME]])</f>
        <v>Asad Aurangzeb</v>
      </c>
      <c r="C60" s="4" t="s">
        <v>64</v>
      </c>
      <c r="D60" s="4" t="s">
        <v>40</v>
      </c>
      <c r="E60" s="30"/>
      <c r="F60" s="4">
        <v>14500</v>
      </c>
      <c r="G60" s="4">
        <v>14500</v>
      </c>
      <c r="H60" s="4">
        <f>Table1[[#This Row],[TOTAL FEE]]-Table1[[#This Row],[PAID]]</f>
        <v>0</v>
      </c>
      <c r="I60" s="4" t="str">
        <f>IF(Table1[[#This Row],[TOTAL]]&lt;1, "Unpaid", IF(Table1[[#This Row],[PAID]]&lt;Table1[[#This Row],[TOTAL FEE]], "Partial Paid", "Paid"))</f>
        <v>Paid</v>
      </c>
      <c r="J60" s="5"/>
      <c r="K60" s="5"/>
      <c r="L60" s="5"/>
      <c r="M60" s="5"/>
      <c r="N60" s="5">
        <v>0</v>
      </c>
      <c r="O60" s="5">
        <v>3500</v>
      </c>
      <c r="P60" s="5">
        <f>SUM(Table1[[#This Row],[MONTHLY FEE]:[EXAMINATION]])</f>
        <v>3500</v>
      </c>
      <c r="Q60" s="5"/>
    </row>
    <row r="61" spans="1:17" hidden="1" x14ac:dyDescent="0.25">
      <c r="A61" s="23">
        <v>90</v>
      </c>
      <c r="B61" s="5" t="str">
        <f ca="1">PROPER(Table1[[#This Row],[NAME]])</f>
        <v>Abdul Manan</v>
      </c>
      <c r="C61" s="4"/>
      <c r="D61" s="4" t="s">
        <v>40</v>
      </c>
      <c r="E61" s="30"/>
      <c r="F61" s="4">
        <v>15500</v>
      </c>
      <c r="G61" s="4">
        <v>15500</v>
      </c>
      <c r="H61" s="4">
        <f>Table1[[#This Row],[TOTAL FEE]]-Table1[[#This Row],[PAID]]</f>
        <v>0</v>
      </c>
      <c r="I61" s="4" t="str">
        <f>IF(Table1[[#This Row],[TOTAL]]&lt;1, "Unpaid", IF(Table1[[#This Row],[PAID]]&lt;Table1[[#This Row],[TOTAL FEE]], "Partial Paid", "Paid"))</f>
        <v>Paid</v>
      </c>
      <c r="J61" s="5"/>
      <c r="K61" s="5"/>
      <c r="L61" s="5"/>
      <c r="M61" s="5"/>
      <c r="N61" s="5">
        <v>13500</v>
      </c>
      <c r="O61" s="5"/>
      <c r="P61" s="5">
        <f>SUM(Table1[[#This Row],[MONTHLY FEE]:[EXAMINATION]])</f>
        <v>13500</v>
      </c>
      <c r="Q61" s="5"/>
    </row>
    <row r="62" spans="1:17" hidden="1" x14ac:dyDescent="0.25">
      <c r="A62" s="23">
        <v>95</v>
      </c>
      <c r="B62" s="5" t="str">
        <f ca="1">PROPER(Table1[[#This Row],[NAME]])</f>
        <v>Abdul-Kalam</v>
      </c>
      <c r="C62" s="4"/>
      <c r="D62" s="4" t="s">
        <v>165</v>
      </c>
      <c r="E62" s="30"/>
      <c r="F62" s="4">
        <v>4500</v>
      </c>
      <c r="G62" s="4">
        <v>4500</v>
      </c>
      <c r="H62" s="4">
        <f>Table1[[#This Row],[TOTAL FEE]]-Table1[[#This Row],[PAID]]</f>
        <v>0</v>
      </c>
      <c r="I62" s="4" t="str">
        <f t="shared" ref="I62:I74" si="0">IF(G62&lt;1, "Unpaid", IF(G62&lt;F62, "Partial Paid", "Paid"))</f>
        <v>Paid</v>
      </c>
      <c r="J62" s="5"/>
      <c r="K62" s="5"/>
      <c r="L62" s="5"/>
      <c r="M62" s="5"/>
      <c r="N62" s="5"/>
      <c r="O62" s="5"/>
      <c r="P62" s="5">
        <f>SUM(Table1[[#This Row],[REGESTRATION]:[MONTHLY FEE]])</f>
        <v>0</v>
      </c>
      <c r="Q62" s="5"/>
    </row>
    <row r="63" spans="1:17" hidden="1" x14ac:dyDescent="0.25">
      <c r="A63" s="23">
        <v>96</v>
      </c>
      <c r="B63" s="5" t="str">
        <f ca="1">PROPER(Table1[[#This Row],[NAME]])</f>
        <v>Saim Abbasi</v>
      </c>
      <c r="C63" s="4" t="s">
        <v>110</v>
      </c>
      <c r="D63" s="4" t="s">
        <v>165</v>
      </c>
      <c r="E63" s="30"/>
      <c r="F63" s="4">
        <v>5500</v>
      </c>
      <c r="G63" s="4">
        <v>5500</v>
      </c>
      <c r="H63" s="4">
        <f>Table1[[#This Row],[TOTAL FEE]]-Table1[[#This Row],[PAID]]</f>
        <v>0</v>
      </c>
      <c r="I63" s="4" t="str">
        <f t="shared" si="0"/>
        <v>Paid</v>
      </c>
      <c r="J63" s="5" t="s">
        <v>115</v>
      </c>
      <c r="K63" s="5"/>
      <c r="L63" s="5"/>
      <c r="M63" s="5"/>
      <c r="N63" s="5"/>
      <c r="O63" s="5"/>
      <c r="P63" s="5">
        <f>SUM(Table1[[#This Row],[REGESTRATION]:[MONTHLY FEE]])</f>
        <v>0</v>
      </c>
      <c r="Q63" s="5"/>
    </row>
    <row r="64" spans="1:17" hidden="1" x14ac:dyDescent="0.25">
      <c r="A64" s="23">
        <v>99</v>
      </c>
      <c r="B64" s="5" t="str">
        <f ca="1">PROPER(Table1[[#This Row],[NAME]])</f>
        <v>Habib-Ullah</v>
      </c>
      <c r="C64" s="4" t="s">
        <v>157</v>
      </c>
      <c r="D64" s="4" t="s">
        <v>67</v>
      </c>
      <c r="E64" s="30"/>
      <c r="F64" s="4">
        <v>4500</v>
      </c>
      <c r="G64" s="4">
        <v>4500</v>
      </c>
      <c r="H64" s="4">
        <f>Table1[[#This Row],[TOTAL FEE]]-Table1[[#This Row],[PAID]]</f>
        <v>0</v>
      </c>
      <c r="I64" s="4" t="str">
        <f t="shared" si="0"/>
        <v>Paid</v>
      </c>
      <c r="J64" s="5" t="s">
        <v>158</v>
      </c>
      <c r="K64" s="5"/>
      <c r="L64" s="5"/>
      <c r="M64" s="5"/>
      <c r="N64" s="5"/>
      <c r="O64" s="5"/>
      <c r="P64" s="5">
        <f>SUM(Table1[[#This Row],[REGESTRATION]:[MONTHLY FEE]])</f>
        <v>0</v>
      </c>
      <c r="Q64" s="5"/>
    </row>
    <row r="65" spans="1:17" hidden="1" x14ac:dyDescent="0.25">
      <c r="A65" s="23">
        <v>100</v>
      </c>
      <c r="B65" s="5" t="s">
        <v>166</v>
      </c>
      <c r="C65" s="4" t="s">
        <v>156</v>
      </c>
      <c r="D65" s="4" t="s">
        <v>67</v>
      </c>
      <c r="E65" s="30"/>
      <c r="F65" s="4">
        <v>6000</v>
      </c>
      <c r="G65" s="4">
        <v>6000</v>
      </c>
      <c r="H65" s="4">
        <f>Table1[[#This Row],[TOTAL FEE]]-Table1[[#This Row],[PAID]]</f>
        <v>0</v>
      </c>
      <c r="I65" s="4" t="str">
        <f t="shared" si="0"/>
        <v>Paid</v>
      </c>
      <c r="J65" s="5" t="s">
        <v>159</v>
      </c>
      <c r="K65" s="5"/>
      <c r="L65" s="5"/>
      <c r="M65" s="5"/>
      <c r="N65" s="5"/>
      <c r="O65" s="5"/>
      <c r="P65" s="5">
        <f>SUM(Table1[[#This Row],[REGESTRATION]:[MONTHLY FEE]])</f>
        <v>0</v>
      </c>
      <c r="Q65" s="5"/>
    </row>
    <row r="66" spans="1:17" hidden="1" x14ac:dyDescent="0.25">
      <c r="A66" s="23">
        <v>102</v>
      </c>
      <c r="B66" s="5" t="str">
        <f ca="1">PROPER(Table1[[#This Row],[NAME]])</f>
        <v>Saim Sajjad</v>
      </c>
      <c r="C66" s="4"/>
      <c r="D66" s="4" t="s">
        <v>165</v>
      </c>
      <c r="E66" s="30"/>
      <c r="F66" s="4">
        <v>5000</v>
      </c>
      <c r="G66" s="4">
        <v>5000</v>
      </c>
      <c r="H66" s="4">
        <f>Table1[[#This Row],[TOTAL FEE]]-Table1[[#This Row],[PAID]]</f>
        <v>0</v>
      </c>
      <c r="I66" s="4" t="str">
        <f t="shared" si="0"/>
        <v>Paid</v>
      </c>
      <c r="J66" s="5"/>
      <c r="K66" s="5"/>
      <c r="L66" s="5"/>
      <c r="M66" s="5"/>
      <c r="N66" s="5"/>
      <c r="O66" s="5"/>
      <c r="P66" s="5">
        <f>SUM(Table1[[#This Row],[REGESTRATION]:[MONTHLY FEE]])</f>
        <v>0</v>
      </c>
      <c r="Q66" s="5"/>
    </row>
    <row r="67" spans="1:17" ht="14.25" hidden="1" customHeight="1" x14ac:dyDescent="0.25">
      <c r="A67" s="23">
        <v>103</v>
      </c>
      <c r="B67" s="5" t="str">
        <f ca="1">PROPER(Table1[[#This Row],[NAME]])</f>
        <v>Muhammad Hamza</v>
      </c>
      <c r="C67" s="4"/>
      <c r="D67" s="4" t="s">
        <v>165</v>
      </c>
      <c r="E67" s="30"/>
      <c r="F67" s="4">
        <v>4000</v>
      </c>
      <c r="G67" s="4">
        <v>4000</v>
      </c>
      <c r="H67" s="4">
        <f>Table1[[#This Row],[TOTAL FEE]]-Table1[[#This Row],[PAID]]</f>
        <v>0</v>
      </c>
      <c r="I67" s="4" t="str">
        <f t="shared" si="0"/>
        <v>Paid</v>
      </c>
      <c r="J67" s="5"/>
      <c r="K67" s="5"/>
      <c r="L67" s="5"/>
      <c r="M67" s="5"/>
      <c r="N67" s="5"/>
      <c r="O67" s="5"/>
      <c r="P67" s="5">
        <f>SUM(Table1[[#This Row],[REGESTRATION]:[MONTHLY FEE]])</f>
        <v>0</v>
      </c>
      <c r="Q67" s="5"/>
    </row>
    <row r="68" spans="1:17" hidden="1" x14ac:dyDescent="0.25">
      <c r="A68" s="23">
        <v>105</v>
      </c>
      <c r="B68" s="5" t="str">
        <f ca="1">PROPER(Table1[[#This Row],[NAME]])</f>
        <v>Talha</v>
      </c>
      <c r="C68" s="4" t="s">
        <v>109</v>
      </c>
      <c r="D68" s="4" t="s">
        <v>165</v>
      </c>
      <c r="E68" s="30"/>
      <c r="F68" s="4">
        <v>5000</v>
      </c>
      <c r="G68" s="4">
        <v>2000</v>
      </c>
      <c r="H68" s="4">
        <f>Table1[[#This Row],[TOTAL FEE]]-Table1[[#This Row],[PAID]]</f>
        <v>3000</v>
      </c>
      <c r="I68" s="4" t="str">
        <f t="shared" si="0"/>
        <v>Partial Paid</v>
      </c>
      <c r="J68" s="5" t="s">
        <v>114</v>
      </c>
      <c r="K68" s="5"/>
      <c r="L68" s="5"/>
      <c r="M68" s="5"/>
      <c r="N68" s="5"/>
      <c r="O68" s="5"/>
      <c r="P68" s="5">
        <f>SUM(Table1[[#This Row],[REGESTRATION]:[MONTHLY FEE]])</f>
        <v>0</v>
      </c>
      <c r="Q68" s="5"/>
    </row>
    <row r="69" spans="1:17" hidden="1" x14ac:dyDescent="0.25">
      <c r="A69" s="23">
        <v>107</v>
      </c>
      <c r="B69" s="5" t="str">
        <f ca="1">PROPER(Table1[[#This Row],[NAME]])</f>
        <v>Mahnoor Zeb</v>
      </c>
      <c r="C69" s="4" t="s">
        <v>107</v>
      </c>
      <c r="D69" s="4" t="s">
        <v>67</v>
      </c>
      <c r="E69" s="30"/>
      <c r="F69" s="4">
        <v>6000</v>
      </c>
      <c r="G69" s="4">
        <v>6000</v>
      </c>
      <c r="H69" s="4">
        <f>Table1[[#This Row],[TOTAL FEE]]-Table1[[#This Row],[PAID]]</f>
        <v>0</v>
      </c>
      <c r="I69" s="4" t="str">
        <f t="shared" si="0"/>
        <v>Paid</v>
      </c>
      <c r="J69" s="5" t="s">
        <v>113</v>
      </c>
      <c r="K69" s="5"/>
      <c r="L69" s="5"/>
      <c r="M69" s="5"/>
      <c r="N69" s="5"/>
      <c r="O69" s="5"/>
      <c r="P69" s="5">
        <f>SUM(Table1[[#This Row],[REGESTRATION]:[MONTHLY FEE]])</f>
        <v>0</v>
      </c>
      <c r="Q69" s="5"/>
    </row>
    <row r="70" spans="1:17" hidden="1" x14ac:dyDescent="0.25">
      <c r="A70" s="10">
        <v>108</v>
      </c>
      <c r="B70" s="4" t="str">
        <f ca="1">PROPER(Table1[[#This Row],[NAME]])</f>
        <v>Maida</v>
      </c>
      <c r="C70" s="4"/>
      <c r="D70" s="4" t="s">
        <v>67</v>
      </c>
      <c r="E70" s="4"/>
      <c r="F70" s="4">
        <v>5500</v>
      </c>
      <c r="G70" s="4">
        <v>5500</v>
      </c>
      <c r="H70" s="4">
        <f>Table1[[#This Row],[TOTAL FEE]]-Table1[[#This Row],[PAID]]</f>
        <v>0</v>
      </c>
      <c r="I70" s="4" t="str">
        <f t="shared" si="0"/>
        <v>Paid</v>
      </c>
      <c r="J70" s="4"/>
      <c r="K70" s="4"/>
      <c r="L70" s="4"/>
      <c r="M70" s="4"/>
      <c r="N70" s="4"/>
      <c r="O70" s="4"/>
      <c r="P70" s="4">
        <f>SUM(Table1[[#This Row],[REGESTRATION]:[MONTHLY FEE]])</f>
        <v>0</v>
      </c>
      <c r="Q70" s="4"/>
    </row>
    <row r="71" spans="1:17" hidden="1" x14ac:dyDescent="0.25">
      <c r="A71" s="10">
        <v>110</v>
      </c>
      <c r="B71" s="4" t="str">
        <f ca="1">PROPER(Table1[[#This Row],[NAME]])</f>
        <v>Marwa Abbasi</v>
      </c>
      <c r="C71" s="4"/>
      <c r="D71" s="4" t="s">
        <v>67</v>
      </c>
      <c r="E71" s="4"/>
      <c r="F71" s="4">
        <v>6000</v>
      </c>
      <c r="G71" s="4">
        <v>6000</v>
      </c>
      <c r="H71" s="4">
        <f>Table1[[#This Row],[TOTAL FEE]]-Table1[[#This Row],[PAID]]</f>
        <v>0</v>
      </c>
      <c r="I71" s="4" t="str">
        <f t="shared" si="0"/>
        <v>Paid</v>
      </c>
      <c r="J71" s="4"/>
      <c r="K71" s="4"/>
      <c r="L71" s="4"/>
      <c r="M71" s="4"/>
      <c r="N71" s="4"/>
      <c r="O71" s="4"/>
      <c r="P71" s="4">
        <f>SUM(Table1[[#This Row],[REGESTRATION]:[MONTHLY FEE]])</f>
        <v>0</v>
      </c>
      <c r="Q71" s="4"/>
    </row>
    <row r="72" spans="1:17" hidden="1" x14ac:dyDescent="0.25">
      <c r="A72" s="10">
        <v>111</v>
      </c>
      <c r="B72" s="4" t="str">
        <f ca="1">PROPER(Table1[[#This Row],[NAME]])</f>
        <v>Aimen</v>
      </c>
      <c r="C72" s="4"/>
      <c r="D72" s="4" t="s">
        <v>67</v>
      </c>
      <c r="E72" s="4"/>
      <c r="F72" s="4">
        <v>5000</v>
      </c>
      <c r="G72" s="4">
        <v>5000</v>
      </c>
      <c r="H72" s="4">
        <f>Table1[[#This Row],[TOTAL FEE]]-Table1[[#This Row],[PAID]]</f>
        <v>0</v>
      </c>
      <c r="I72" s="4" t="str">
        <f t="shared" si="0"/>
        <v>Paid</v>
      </c>
      <c r="J72" s="4"/>
      <c r="K72" s="4"/>
      <c r="L72" s="4"/>
      <c r="M72" s="4"/>
      <c r="N72" s="4"/>
      <c r="O72" s="4"/>
      <c r="P72" s="4">
        <f>SUM(Table1[[#This Row],[REGESTRATION]:[MONTHLY FEE]])</f>
        <v>0</v>
      </c>
      <c r="Q72" s="4"/>
    </row>
    <row r="73" spans="1:17" hidden="1" x14ac:dyDescent="0.25">
      <c r="A73" s="10">
        <v>112</v>
      </c>
      <c r="B73" s="4" t="str">
        <f ca="1">PROPER(Table1[[#This Row],[NAME]])</f>
        <v>Noor Ul Eman</v>
      </c>
      <c r="C73" s="4" t="s">
        <v>118</v>
      </c>
      <c r="D73" s="4" t="s">
        <v>67</v>
      </c>
      <c r="E73" s="4"/>
      <c r="F73" s="4">
        <v>5000</v>
      </c>
      <c r="G73" s="4">
        <v>5000</v>
      </c>
      <c r="H73" s="4">
        <f>Table1[[#This Row],[TOTAL FEE]]-Table1[[#This Row],[PAID]]</f>
        <v>0</v>
      </c>
      <c r="I73" s="4" t="str">
        <f t="shared" si="0"/>
        <v>Paid</v>
      </c>
      <c r="J73" s="4" t="s">
        <v>120</v>
      </c>
      <c r="K73" s="4"/>
      <c r="L73" s="4"/>
      <c r="M73" s="4"/>
      <c r="N73" s="4"/>
      <c r="O73" s="4"/>
      <c r="P73" s="4">
        <f>SUM(Table1[[#This Row],[REGESTRATION]:[MONTHLY FEE]])</f>
        <v>0</v>
      </c>
      <c r="Q73" s="4"/>
    </row>
    <row r="74" spans="1:17" hidden="1" x14ac:dyDescent="0.25">
      <c r="A74" s="10">
        <v>113</v>
      </c>
      <c r="B74" s="4" t="str">
        <f ca="1">PROPER(Table1[[#This Row],[NAME]])</f>
        <v>Maida</v>
      </c>
      <c r="C74" s="4" t="s">
        <v>117</v>
      </c>
      <c r="D74" s="4" t="s">
        <v>67</v>
      </c>
      <c r="E74" s="4"/>
      <c r="F74" s="4">
        <v>6000</v>
      </c>
      <c r="G74" s="4">
        <v>6000</v>
      </c>
      <c r="H74" s="4">
        <f>Table1[[#This Row],[TOTAL FEE]]-Table1[[#This Row],[PAID]]</f>
        <v>0</v>
      </c>
      <c r="I74" s="4" t="str">
        <f t="shared" si="0"/>
        <v>Paid</v>
      </c>
      <c r="J74" s="4" t="s">
        <v>119</v>
      </c>
      <c r="K74" s="4"/>
      <c r="L74" s="4"/>
      <c r="M74" s="4"/>
      <c r="N74" s="4"/>
      <c r="O74" s="4"/>
      <c r="P74" s="4">
        <f>SUM(Table1[[#This Row],[REGESTRATION]:[MONTHLY FEE]])</f>
        <v>0</v>
      </c>
      <c r="Q74" s="4"/>
    </row>
    <row r="75" spans="1:17" x14ac:dyDescent="0.25">
      <c r="A75" s="10">
        <v>133</v>
      </c>
      <c r="B75" s="4"/>
      <c r="C75" s="5" t="s">
        <v>68</v>
      </c>
      <c r="D75" s="5" t="s">
        <v>69</v>
      </c>
      <c r="E75" s="5"/>
      <c r="F75" s="5">
        <v>15000</v>
      </c>
      <c r="G75" s="5">
        <v>5000</v>
      </c>
      <c r="H75" s="5">
        <f>Table1[[#This Row],[TOTAL FEE]]-Table1[[#This Row],[PAID]]</f>
        <v>10000</v>
      </c>
      <c r="I75" s="5" t="str">
        <f t="shared" ref="I75:I79" si="1">IF(G75&lt;1, "Unpaid", IF(G75&lt;F75, "Partial Paid", "Paid"))</f>
        <v>Partial Paid</v>
      </c>
      <c r="J75" s="5"/>
      <c r="K75" s="5"/>
      <c r="L75" s="5"/>
      <c r="M75" s="5"/>
      <c r="N75" s="4"/>
      <c r="O75" s="4"/>
      <c r="P75" s="4">
        <f>SUM(Table1[[#This Row],[REGESTRATION]:[MONTHLY FEE]])</f>
        <v>0</v>
      </c>
      <c r="Q75" s="4"/>
    </row>
    <row r="76" spans="1:17" hidden="1" x14ac:dyDescent="0.25">
      <c r="A76" s="10">
        <v>134</v>
      </c>
      <c r="B76" s="4"/>
      <c r="C76" s="5" t="s">
        <v>15</v>
      </c>
      <c r="D76" s="5" t="s">
        <v>69</v>
      </c>
      <c r="E76" s="5"/>
      <c r="F76" s="5">
        <v>14000</v>
      </c>
      <c r="G76" s="5">
        <v>14000</v>
      </c>
      <c r="H76" s="5">
        <f>Table1[[#This Row],[TOTAL FEE]]-Table1[[#This Row],[PAID]]</f>
        <v>0</v>
      </c>
      <c r="I76" s="5" t="str">
        <f t="shared" si="1"/>
        <v>Paid</v>
      </c>
      <c r="J76" s="5"/>
      <c r="K76" s="5"/>
      <c r="L76" s="5"/>
      <c r="M76" s="5"/>
      <c r="N76" s="4"/>
      <c r="O76" s="4"/>
      <c r="P76" s="4">
        <f>SUM(Table1[[#This Row],[REGESTRATION]:[MONTHLY FEE]])</f>
        <v>0</v>
      </c>
      <c r="Q76" s="4"/>
    </row>
    <row r="77" spans="1:17" hidden="1" x14ac:dyDescent="0.25">
      <c r="A77" s="10">
        <v>135</v>
      </c>
      <c r="B77" s="4" t="e">
        <f ca="1">PROPER(Table1[[#This Row],[NAME]])</f>
        <v>#VALUE!</v>
      </c>
      <c r="C77" s="5" t="s">
        <v>70</v>
      </c>
      <c r="D77" s="5" t="s">
        <v>71</v>
      </c>
      <c r="E77" s="5"/>
      <c r="F77" s="5">
        <v>20000</v>
      </c>
      <c r="G77" s="5">
        <v>20000</v>
      </c>
      <c r="H77" s="5">
        <f>Table1[[#This Row],[TOTAL FEE]]-Table1[[#This Row],[PAID]]</f>
        <v>0</v>
      </c>
      <c r="I77" s="5" t="str">
        <f t="shared" si="1"/>
        <v>Paid</v>
      </c>
      <c r="J77" s="5" t="s">
        <v>85</v>
      </c>
      <c r="K77" s="5"/>
      <c r="L77" s="5"/>
      <c r="M77" s="5"/>
      <c r="N77" s="4"/>
      <c r="O77" s="4"/>
      <c r="P77" s="4">
        <f>SUM(Table1[[#This Row],[REGESTRATION]:[MONTHLY FEE]])</f>
        <v>0</v>
      </c>
      <c r="Q77" s="4"/>
    </row>
    <row r="78" spans="1:17" hidden="1" x14ac:dyDescent="0.25">
      <c r="A78" s="10">
        <v>136</v>
      </c>
      <c r="B78" s="4" t="e">
        <f ca="1">PROPER(Table1[[#This Row],[NAME]])</f>
        <v>#VALUE!</v>
      </c>
      <c r="C78" s="5" t="s">
        <v>21</v>
      </c>
      <c r="D78" s="5" t="s">
        <v>71</v>
      </c>
      <c r="E78" s="5"/>
      <c r="F78" s="5">
        <v>20000</v>
      </c>
      <c r="G78" s="5">
        <v>5000</v>
      </c>
      <c r="H78" s="5">
        <f>Table1[[#This Row],[TOTAL FEE]]-Table1[[#This Row],[PAID]]</f>
        <v>15000</v>
      </c>
      <c r="I78" s="5" t="str">
        <f t="shared" si="1"/>
        <v>Partial Paid</v>
      </c>
      <c r="J78" s="5" t="s">
        <v>86</v>
      </c>
      <c r="K78" s="5"/>
      <c r="L78" s="5"/>
      <c r="M78" s="5"/>
      <c r="N78" s="4"/>
      <c r="O78" s="4"/>
      <c r="P78" s="4">
        <f>SUM(Table1[[#This Row],[REGESTRATION]:[MONTHLY FEE]])</f>
        <v>0</v>
      </c>
      <c r="Q78" s="4"/>
    </row>
    <row r="79" spans="1:17" hidden="1" x14ac:dyDescent="0.25">
      <c r="A79" s="10">
        <v>137</v>
      </c>
      <c r="B79" s="4" t="s">
        <v>187</v>
      </c>
      <c r="C79" s="5"/>
      <c r="D79" s="5" t="s">
        <v>133</v>
      </c>
      <c r="E79" s="5"/>
      <c r="F79" s="5">
        <v>25000</v>
      </c>
      <c r="G79" s="5">
        <v>25000</v>
      </c>
      <c r="H79" s="5">
        <f>Table1[[#This Row],[TOTAL FEE]]-Table1[[#This Row],[PAID]]</f>
        <v>0</v>
      </c>
      <c r="I79" s="5" t="str">
        <f t="shared" si="1"/>
        <v>Paid</v>
      </c>
      <c r="J79" s="5" t="s">
        <v>106</v>
      </c>
      <c r="K79" s="5"/>
      <c r="L79" s="5"/>
      <c r="M79" s="5"/>
      <c r="N79" s="4"/>
      <c r="O79" s="4"/>
      <c r="P79" s="4">
        <f>SUM(Table1[[#This Row],[REGESTRATION]:[MONTHLY FEE]])</f>
        <v>0</v>
      </c>
      <c r="Q79" s="4"/>
    </row>
    <row r="80" spans="1:17" hidden="1" x14ac:dyDescent="0.25">
      <c r="A80" s="10">
        <v>140</v>
      </c>
      <c r="B80" s="4" t="s">
        <v>188</v>
      </c>
      <c r="C80" s="5" t="s">
        <v>108</v>
      </c>
      <c r="D80" s="4" t="s">
        <v>165</v>
      </c>
      <c r="E80" s="5"/>
      <c r="F80" s="5">
        <v>3000</v>
      </c>
      <c r="G80" s="5">
        <v>3000</v>
      </c>
      <c r="H80" s="5">
        <f>Table1[[#This Row],[TOTAL FEE]]-Table1[[#This Row],[PAID]]</f>
        <v>0</v>
      </c>
      <c r="I80" s="5" t="str">
        <f t="shared" ref="I80:I82" si="2">IF(G80&lt;1, "Unpaid", IF(G80&lt;F80, "Partial Paid", "Paid"))</f>
        <v>Paid</v>
      </c>
      <c r="J80" s="5" t="s">
        <v>112</v>
      </c>
      <c r="K80" s="5"/>
      <c r="L80" s="5"/>
      <c r="M80" s="5"/>
      <c r="N80" s="4"/>
      <c r="O80" s="4"/>
      <c r="P80" s="4">
        <f>SUM(Table1[[#This Row],[REGESTRATION]:[MONTHLY FEE]])</f>
        <v>0</v>
      </c>
      <c r="Q80" s="4"/>
    </row>
    <row r="81" spans="1:17" hidden="1" x14ac:dyDescent="0.25">
      <c r="A81" s="10">
        <v>143</v>
      </c>
      <c r="B81" s="4" t="s">
        <v>193</v>
      </c>
      <c r="C81" s="5" t="s">
        <v>111</v>
      </c>
      <c r="D81" s="5" t="s">
        <v>67</v>
      </c>
      <c r="E81" s="5"/>
      <c r="F81" s="5">
        <v>6500</v>
      </c>
      <c r="G81" s="5"/>
      <c r="H81" s="5">
        <f>Table1[[#This Row],[TOTAL FEE]]-Table1[[#This Row],[PAID]]</f>
        <v>6500</v>
      </c>
      <c r="I81" s="5" t="str">
        <f t="shared" si="2"/>
        <v>Unpaid</v>
      </c>
      <c r="J81" s="5" t="s">
        <v>116</v>
      </c>
      <c r="K81" s="5"/>
      <c r="L81" s="5"/>
      <c r="M81" s="5"/>
      <c r="N81" s="4"/>
      <c r="O81" s="4"/>
      <c r="P81" s="4">
        <f>SUM(Table1[[#This Row],[REGESTRATION]:[MONTHLY FEE]])</f>
        <v>0</v>
      </c>
      <c r="Q81" s="4"/>
    </row>
    <row r="82" spans="1:17" hidden="1" x14ac:dyDescent="0.25">
      <c r="A82" s="10">
        <v>145</v>
      </c>
      <c r="B82" s="4" t="s">
        <v>189</v>
      </c>
      <c r="C82" s="5" t="s">
        <v>121</v>
      </c>
      <c r="D82" s="4" t="s">
        <v>165</v>
      </c>
      <c r="E82" s="5"/>
      <c r="F82" s="5">
        <v>6000</v>
      </c>
      <c r="G82" s="5">
        <v>4000</v>
      </c>
      <c r="H82" s="5">
        <f>Table1[[#This Row],[TOTAL FEE]]-Table1[[#This Row],[PAID]]</f>
        <v>2000</v>
      </c>
      <c r="I82" s="5" t="str">
        <f t="shared" si="2"/>
        <v>Partial Paid</v>
      </c>
      <c r="J82" s="5"/>
      <c r="K82" s="5"/>
      <c r="L82" s="5"/>
      <c r="M82" s="5"/>
      <c r="N82" s="4"/>
      <c r="O82" s="4"/>
      <c r="P82" s="4">
        <f>SUM(Table1[[#This Row],[REGESTRATION]:[MONTHLY FEE]])</f>
        <v>0</v>
      </c>
      <c r="Q82" s="4"/>
    </row>
    <row r="83" spans="1:17" hidden="1" x14ac:dyDescent="0.25">
      <c r="A83" s="10">
        <v>150</v>
      </c>
      <c r="B83" s="4" t="s">
        <v>184</v>
      </c>
      <c r="C83" s="5" t="s">
        <v>127</v>
      </c>
      <c r="D83" s="5" t="s">
        <v>123</v>
      </c>
      <c r="E83" s="5"/>
      <c r="F83" s="5">
        <v>17500</v>
      </c>
      <c r="G83" s="5">
        <f>Table1[[#This Row],[TOTAL]]</f>
        <v>0</v>
      </c>
      <c r="H83" s="5">
        <f>Table1[[#This Row],[TOTAL FEE]]-Table1[[#This Row],[PAID]]</f>
        <v>17500</v>
      </c>
      <c r="I83" s="5" t="str">
        <f t="shared" ref="I83:I95" si="3">IF(G83&lt;1, "Unpaid", IF(G83&lt;F83, "Partial Paid", "Paid"))</f>
        <v>Unpaid</v>
      </c>
      <c r="J83" s="5" t="s">
        <v>128</v>
      </c>
      <c r="K83" s="5"/>
      <c r="L83" s="5"/>
      <c r="M83" s="5"/>
      <c r="N83" s="4"/>
      <c r="O83" s="4"/>
      <c r="P83" s="4">
        <f>SUM(Table1[[#This Row],[REGESTRATION]:[MONTHLY FEE]])</f>
        <v>0</v>
      </c>
      <c r="Q83" s="31">
        <v>46202</v>
      </c>
    </row>
    <row r="84" spans="1:17" hidden="1" x14ac:dyDescent="0.25">
      <c r="A84" s="10">
        <v>149</v>
      </c>
      <c r="B84" s="4" t="s">
        <v>186</v>
      </c>
      <c r="C84" s="5" t="s">
        <v>125</v>
      </c>
      <c r="D84" s="5" t="s">
        <v>123</v>
      </c>
      <c r="E84" s="5"/>
      <c r="F84" s="5">
        <v>17500</v>
      </c>
      <c r="G84" s="5">
        <f>Table1[[#This Row],[TOTAL]]</f>
        <v>7000</v>
      </c>
      <c r="H84" s="5">
        <f>Table1[[#This Row],[TOTAL FEE]]-Table1[[#This Row],[PAID]]</f>
        <v>10500</v>
      </c>
      <c r="I84" s="5" t="str">
        <f t="shared" si="3"/>
        <v>Partial Paid</v>
      </c>
      <c r="J84" s="5" t="s">
        <v>126</v>
      </c>
      <c r="K84" s="5">
        <v>4000</v>
      </c>
      <c r="L84" s="5"/>
      <c r="M84" s="5">
        <v>1000</v>
      </c>
      <c r="N84" s="4">
        <v>2000</v>
      </c>
      <c r="O84" s="4"/>
      <c r="P84" s="4">
        <f>SUM(Table1[[#This Row],[REGESTRATION]:[MONTHLY FEE]])</f>
        <v>7000</v>
      </c>
      <c r="Q84" s="31">
        <v>46204</v>
      </c>
    </row>
    <row r="85" spans="1:17" hidden="1" x14ac:dyDescent="0.25">
      <c r="A85" s="10">
        <v>148</v>
      </c>
      <c r="B85" s="4" t="s">
        <v>170</v>
      </c>
      <c r="C85" s="5" t="s">
        <v>122</v>
      </c>
      <c r="D85" s="5" t="s">
        <v>123</v>
      </c>
      <c r="E85" s="5"/>
      <c r="F85" s="5">
        <v>17500</v>
      </c>
      <c r="G85" s="5">
        <f>Table1[[#This Row],[TOTAL]]</f>
        <v>0</v>
      </c>
      <c r="H85" s="5">
        <f>Table1[[#This Row],[TOTAL FEE]]-Table1[[#This Row],[PAID]]</f>
        <v>17500</v>
      </c>
      <c r="I85" s="5" t="str">
        <f t="shared" si="3"/>
        <v>Unpaid</v>
      </c>
      <c r="J85" s="5" t="s">
        <v>124</v>
      </c>
      <c r="K85" s="5" t="s">
        <v>66</v>
      </c>
      <c r="L85" s="5"/>
      <c r="M85" s="5"/>
      <c r="N85" s="4"/>
      <c r="O85" s="4"/>
      <c r="P85" s="4">
        <f>SUM(Table1[[#This Row],[REGESTRATION]:[MONTHLY FEE]])</f>
        <v>0</v>
      </c>
      <c r="Q85" s="31">
        <v>46209</v>
      </c>
    </row>
    <row r="86" spans="1:17" hidden="1" x14ac:dyDescent="0.25">
      <c r="A86" s="10">
        <v>151</v>
      </c>
      <c r="B86" s="4" t="s">
        <v>178</v>
      </c>
      <c r="C86" s="5" t="s">
        <v>129</v>
      </c>
      <c r="D86" s="5" t="s">
        <v>123</v>
      </c>
      <c r="E86" s="5"/>
      <c r="F86" s="5">
        <v>17500</v>
      </c>
      <c r="G86" s="5">
        <f>Table1[[#This Row],[TOTAL]]</f>
        <v>2500</v>
      </c>
      <c r="H86" s="5">
        <f>Table1[[#This Row],[TOTAL FEE]]-Table1[[#This Row],[PAID]]</f>
        <v>15000</v>
      </c>
      <c r="I86" s="5" t="str">
        <f t="shared" si="3"/>
        <v>Partial Paid</v>
      </c>
      <c r="J86" s="5" t="s">
        <v>130</v>
      </c>
      <c r="K86" s="5"/>
      <c r="L86" s="5">
        <v>1500</v>
      </c>
      <c r="M86" s="5">
        <v>1000</v>
      </c>
      <c r="N86" s="4"/>
      <c r="O86" s="4"/>
      <c r="P86" s="4">
        <f>SUM(Table1[[#This Row],[REGESTRATION]:[MONTHLY FEE]])</f>
        <v>2500</v>
      </c>
      <c r="Q86" s="31">
        <v>46212</v>
      </c>
    </row>
    <row r="87" spans="1:17" hidden="1" x14ac:dyDescent="0.25">
      <c r="A87" s="10">
        <v>152</v>
      </c>
      <c r="B87" s="4" t="s">
        <v>185</v>
      </c>
      <c r="C87" s="5" t="s">
        <v>131</v>
      </c>
      <c r="D87" s="5" t="s">
        <v>123</v>
      </c>
      <c r="E87" s="5"/>
      <c r="F87" s="5">
        <v>17500</v>
      </c>
      <c r="G87" s="5">
        <f>Table1[[#This Row],[TOTAL]]</f>
        <v>7000</v>
      </c>
      <c r="H87" s="5">
        <f>Table1[[#This Row],[TOTAL FEE]]-Table1[[#This Row],[PAID]]</f>
        <v>10500</v>
      </c>
      <c r="I87" s="5" t="str">
        <f t="shared" si="3"/>
        <v>Partial Paid</v>
      </c>
      <c r="J87" s="5" t="s">
        <v>132</v>
      </c>
      <c r="K87" s="5">
        <v>4000</v>
      </c>
      <c r="L87" s="5"/>
      <c r="M87" s="5">
        <v>1000</v>
      </c>
      <c r="N87" s="4">
        <v>2000</v>
      </c>
      <c r="O87" s="4"/>
      <c r="P87" s="4">
        <f>SUM(Table1[[#This Row],[REGESTRATION]:[MONTHLY FEE]])</f>
        <v>7000</v>
      </c>
      <c r="Q87" s="31">
        <v>46218</v>
      </c>
    </row>
    <row r="88" spans="1:17" hidden="1" x14ac:dyDescent="0.25">
      <c r="A88" s="12">
        <v>146</v>
      </c>
      <c r="B88" s="4" t="s">
        <v>135</v>
      </c>
      <c r="C88" s="5" t="s">
        <v>136</v>
      </c>
      <c r="D88" s="4" t="s">
        <v>165</v>
      </c>
      <c r="E88" s="5"/>
      <c r="F88" s="5">
        <v>6000</v>
      </c>
      <c r="G88" s="5">
        <v>6000</v>
      </c>
      <c r="H88" s="5">
        <f>Table1[[#This Row],[TOTAL FEE]]-Table1[[#This Row],[PAID]]</f>
        <v>0</v>
      </c>
      <c r="I88" s="5" t="str">
        <f t="shared" si="3"/>
        <v>Paid</v>
      </c>
      <c r="J88" s="5" t="s">
        <v>138</v>
      </c>
      <c r="K88" s="5"/>
      <c r="L88" s="5"/>
      <c r="M88" s="5"/>
      <c r="N88" s="4"/>
      <c r="O88" s="4"/>
      <c r="P88" s="4">
        <f>SUM(Table1[[#This Row],[REGESTRATION]:[MONTHLY FEE]])</f>
        <v>0</v>
      </c>
      <c r="Q88" s="4">
        <v>46228</v>
      </c>
    </row>
    <row r="89" spans="1:17" hidden="1" x14ac:dyDescent="0.25">
      <c r="A89" s="23">
        <v>153</v>
      </c>
      <c r="B89" s="4" t="s">
        <v>139</v>
      </c>
      <c r="C89" s="5" t="s">
        <v>26</v>
      </c>
      <c r="D89" s="5" t="s">
        <v>123</v>
      </c>
      <c r="E89" s="5"/>
      <c r="F89" s="5">
        <v>17500</v>
      </c>
      <c r="G89" s="5">
        <f>Table1[[#This Row],[TOTAL]]</f>
        <v>1000</v>
      </c>
      <c r="H89" s="5">
        <f>Table1[[#This Row],[TOTAL FEE]]-Table1[[#This Row],[PAID]]</f>
        <v>16500</v>
      </c>
      <c r="I89" s="5" t="str">
        <f t="shared" si="3"/>
        <v>Partial Paid</v>
      </c>
      <c r="J89" s="5" t="s">
        <v>140</v>
      </c>
      <c r="K89" s="5"/>
      <c r="L89" s="5"/>
      <c r="M89" s="5"/>
      <c r="N89" s="4">
        <v>1000</v>
      </c>
      <c r="O89" s="4"/>
      <c r="P89" s="4">
        <f>SUM(Table1[[#This Row],[REGESTRATION]:[MONTHLY FEE]])</f>
        <v>1000</v>
      </c>
      <c r="Q89" s="31">
        <v>46222</v>
      </c>
    </row>
    <row r="90" spans="1:17" hidden="1" x14ac:dyDescent="0.25">
      <c r="A90" s="23">
        <v>154</v>
      </c>
      <c r="B90" s="4" t="s">
        <v>141</v>
      </c>
      <c r="C90" s="5" t="s">
        <v>142</v>
      </c>
      <c r="D90" s="5" t="s">
        <v>123</v>
      </c>
      <c r="E90" s="5"/>
      <c r="F90" s="5">
        <v>17500</v>
      </c>
      <c r="G90" s="5">
        <f>Table1[[#This Row],[TOTAL]]</f>
        <v>2000</v>
      </c>
      <c r="H90" s="5">
        <f>Table1[[#This Row],[TOTAL FEE]]-Table1[[#This Row],[PAID]]</f>
        <v>15500</v>
      </c>
      <c r="I90" s="5" t="str">
        <f t="shared" si="3"/>
        <v>Partial Paid</v>
      </c>
      <c r="J90" s="5" t="s">
        <v>143</v>
      </c>
      <c r="K90" s="5"/>
      <c r="L90" s="5"/>
      <c r="M90" s="5"/>
      <c r="N90" s="4">
        <v>2000</v>
      </c>
      <c r="O90" s="4"/>
      <c r="P90" s="4">
        <f>SUM(Table1[[#This Row],[REGESTRATION]:[MONTHLY FEE]])</f>
        <v>2000</v>
      </c>
      <c r="Q90" s="31">
        <v>46222</v>
      </c>
    </row>
    <row r="91" spans="1:17" hidden="1" x14ac:dyDescent="0.25">
      <c r="A91" s="23">
        <v>155</v>
      </c>
      <c r="B91" s="4" t="s">
        <v>144</v>
      </c>
      <c r="C91" s="5" t="s">
        <v>145</v>
      </c>
      <c r="D91" s="5" t="s">
        <v>123</v>
      </c>
      <c r="E91" s="5"/>
      <c r="F91" s="5">
        <v>17500</v>
      </c>
      <c r="G91" s="5">
        <f>Table1[[#This Row],[TOTAL]]</f>
        <v>3700</v>
      </c>
      <c r="H91" s="5">
        <f>Table1[[#This Row],[TOTAL FEE]]-Table1[[#This Row],[PAID]]</f>
        <v>13800</v>
      </c>
      <c r="I91" s="5" t="str">
        <f t="shared" si="3"/>
        <v>Partial Paid</v>
      </c>
      <c r="J91" s="5" t="s">
        <v>146</v>
      </c>
      <c r="K91" s="5"/>
      <c r="L91" s="5">
        <v>1500</v>
      </c>
      <c r="M91" s="5">
        <v>1000</v>
      </c>
      <c r="N91" s="4">
        <v>1200</v>
      </c>
      <c r="O91" s="4"/>
      <c r="P91" s="4">
        <f>SUM(Table1[[#This Row],[REGESTRATION]:[MONTHLY FEE]])</f>
        <v>3700</v>
      </c>
      <c r="Q91" s="31">
        <v>46223</v>
      </c>
    </row>
    <row r="92" spans="1:17" hidden="1" x14ac:dyDescent="0.25">
      <c r="A92" s="12">
        <v>156</v>
      </c>
      <c r="B92" s="4" t="s">
        <v>147</v>
      </c>
      <c r="C92" s="5" t="s">
        <v>148</v>
      </c>
      <c r="D92" s="5" t="s">
        <v>123</v>
      </c>
      <c r="E92" s="5"/>
      <c r="F92" s="5">
        <v>17500</v>
      </c>
      <c r="G92" s="5">
        <f>Table1[[#This Row],[TOTAL]]</f>
        <v>0</v>
      </c>
      <c r="H92" s="5">
        <f>Table1[[#This Row],[TOTAL FEE]]-Table1[[#This Row],[PAID]]</f>
        <v>17500</v>
      </c>
      <c r="I92" s="5" t="str">
        <f t="shared" si="3"/>
        <v>Unpaid</v>
      </c>
      <c r="J92" s="5" t="s">
        <v>149</v>
      </c>
      <c r="K92" s="5"/>
      <c r="L92" s="5"/>
      <c r="M92" s="5"/>
      <c r="N92" s="4"/>
      <c r="O92" s="4"/>
      <c r="P92" s="4">
        <f>SUM(Table1[[#This Row],[REGESTRATION]:[MONTHLY FEE]])</f>
        <v>0</v>
      </c>
      <c r="Q92" s="31">
        <v>46230</v>
      </c>
    </row>
    <row r="93" spans="1:17" hidden="1" x14ac:dyDescent="0.25">
      <c r="A93" s="12">
        <v>146</v>
      </c>
      <c r="B93" s="4" t="s">
        <v>150</v>
      </c>
      <c r="C93" s="5" t="s">
        <v>154</v>
      </c>
      <c r="D93" s="5" t="s">
        <v>67</v>
      </c>
      <c r="E93" s="5"/>
      <c r="F93" s="5">
        <v>5000</v>
      </c>
      <c r="G93" s="5">
        <v>3000</v>
      </c>
      <c r="H93" s="5">
        <f>Table1[[#This Row],[TOTAL FEE]]-Table1[[#This Row],[PAID]]</f>
        <v>2000</v>
      </c>
      <c r="I93" s="5" t="str">
        <f t="shared" si="3"/>
        <v>Partial Paid</v>
      </c>
      <c r="J93" s="5" t="s">
        <v>155</v>
      </c>
      <c r="K93" s="5"/>
      <c r="L93" s="5"/>
      <c r="M93" s="5"/>
      <c r="N93" s="4"/>
      <c r="O93" s="4"/>
      <c r="P93" s="4">
        <f>SUM(Table1[[#This Row],[REGESTRATION]:[MONTHLY FEE]])</f>
        <v>0</v>
      </c>
      <c r="Q93" s="4"/>
    </row>
    <row r="94" spans="1:17" hidden="1" x14ac:dyDescent="0.25">
      <c r="A94" s="12">
        <v>147</v>
      </c>
      <c r="B94" s="4" t="s">
        <v>151</v>
      </c>
      <c r="C94" s="5" t="s">
        <v>152</v>
      </c>
      <c r="D94" s="4" t="s">
        <v>165</v>
      </c>
      <c r="E94" s="5"/>
      <c r="F94" s="5">
        <v>2000</v>
      </c>
      <c r="G94" s="5">
        <v>2000</v>
      </c>
      <c r="H94" s="5">
        <f>Table1[[#This Row],[TOTAL FEE]]-Table1[[#This Row],[PAID]]</f>
        <v>0</v>
      </c>
      <c r="I94" s="5" t="str">
        <f t="shared" si="3"/>
        <v>Paid</v>
      </c>
      <c r="J94" s="5" t="s">
        <v>153</v>
      </c>
      <c r="K94" s="5"/>
      <c r="L94" s="5"/>
      <c r="M94" s="5"/>
      <c r="N94" s="4"/>
      <c r="O94" s="4"/>
      <c r="P94" s="4">
        <f>SUM(Table1[[#This Row],[REGESTRATION]:[MONTHLY FEE]])</f>
        <v>0</v>
      </c>
      <c r="Q94" s="4"/>
    </row>
    <row r="95" spans="1:17" hidden="1" x14ac:dyDescent="0.25">
      <c r="A95" s="12">
        <v>161</v>
      </c>
      <c r="B95" s="22" t="s">
        <v>161</v>
      </c>
      <c r="C95" s="5" t="s">
        <v>160</v>
      </c>
      <c r="D95" s="5" t="s">
        <v>123</v>
      </c>
      <c r="E95" s="5"/>
      <c r="F95" s="5">
        <v>17500</v>
      </c>
      <c r="G95" s="5">
        <f>Table1[[#This Row],[TOTAL]]</f>
        <v>2200</v>
      </c>
      <c r="H95" s="5">
        <f>Table1[[#This Row],[TOTAL FEE]]-Table1[[#This Row],[PAID]]</f>
        <v>15300</v>
      </c>
      <c r="I95" s="5" t="str">
        <f t="shared" si="3"/>
        <v>Partial Paid</v>
      </c>
      <c r="J95" s="5" t="s">
        <v>162</v>
      </c>
      <c r="K95" s="5"/>
      <c r="L95" s="5"/>
      <c r="M95" s="5">
        <v>1000</v>
      </c>
      <c r="N95" s="22">
        <v>1200</v>
      </c>
      <c r="O95" s="22"/>
      <c r="P95" s="22">
        <f>SUM(Table1[[#This Row],[REGESTRATION]:[MONTHLY FEE]])</f>
        <v>2200</v>
      </c>
      <c r="Q95" s="28">
        <v>46235</v>
      </c>
    </row>
    <row r="96" spans="1:17" hidden="1" x14ac:dyDescent="0.25">
      <c r="A96" s="12"/>
      <c r="B96" s="22" t="s">
        <v>167</v>
      </c>
      <c r="C96" s="6"/>
      <c r="D96" s="5" t="s">
        <v>71</v>
      </c>
      <c r="E96" s="30"/>
      <c r="F96" s="6">
        <v>20000</v>
      </c>
      <c r="G96" s="6">
        <v>5000</v>
      </c>
      <c r="H96" s="6">
        <f>Table1[[#This Row],[TOTAL FEE]]-Table1[[#This Row],[PAID]]</f>
        <v>15000</v>
      </c>
      <c r="I96" s="6" t="str">
        <f t="shared" ref="I96:I98" si="4">IF(G96&lt;1, "Unpaid", IF(G96&lt;F96, "Partial Paid", "Paid"))</f>
        <v>Partial Paid</v>
      </c>
      <c r="J96" s="22" t="s">
        <v>168</v>
      </c>
      <c r="K96" s="22"/>
      <c r="L96" s="22"/>
      <c r="M96" s="22"/>
      <c r="N96" s="22"/>
      <c r="O96" s="22"/>
      <c r="P96" s="22">
        <f>SUM(Table1[[#This Row],[REGESTRATION]:[MONTHLY FEE]])</f>
        <v>0</v>
      </c>
      <c r="Q96" s="22"/>
    </row>
    <row r="97" spans="1:17" hidden="1" x14ac:dyDescent="0.25">
      <c r="A97" s="12"/>
      <c r="B97" s="22" t="s">
        <v>180</v>
      </c>
      <c r="C97" s="6" t="s">
        <v>181</v>
      </c>
      <c r="D97" s="6" t="s">
        <v>179</v>
      </c>
      <c r="E97" s="30"/>
      <c r="F97" s="6">
        <v>1500</v>
      </c>
      <c r="G97" s="6">
        <v>1500</v>
      </c>
      <c r="H97" s="6">
        <f>Table1[[#This Row],[TOTAL FEE]]-Table1[[#This Row],[PAID]]</f>
        <v>0</v>
      </c>
      <c r="I97" s="6" t="str">
        <f t="shared" si="4"/>
        <v>Paid</v>
      </c>
      <c r="J97" s="22"/>
      <c r="K97" s="22"/>
      <c r="L97" s="22"/>
      <c r="M97" s="22"/>
      <c r="N97" s="22"/>
      <c r="O97" s="22"/>
      <c r="P97" s="22">
        <f>SUM(Table1[[#This Row],[REGESTRATION]:[MONTHLY FEE]])</f>
        <v>0</v>
      </c>
      <c r="Q97" s="22"/>
    </row>
    <row r="98" spans="1:17" hidden="1" x14ac:dyDescent="0.25">
      <c r="A98" s="23"/>
      <c r="B98" s="5" t="s">
        <v>182</v>
      </c>
      <c r="C98" s="4" t="s">
        <v>183</v>
      </c>
      <c r="D98" s="4" t="s">
        <v>179</v>
      </c>
      <c r="E98" s="30"/>
      <c r="F98" s="4">
        <v>1500</v>
      </c>
      <c r="G98" s="4"/>
      <c r="H98" s="4">
        <f>Table1[[#This Row],[TOTAL FEE]]-Table1[[#This Row],[PAID]]</f>
        <v>1500</v>
      </c>
      <c r="I98" s="4" t="str">
        <f t="shared" si="4"/>
        <v>Unpaid</v>
      </c>
      <c r="J98" s="5"/>
      <c r="K98" s="5"/>
      <c r="L98" s="5"/>
      <c r="M98" s="5"/>
      <c r="N98" s="5"/>
      <c r="O98" s="5"/>
      <c r="P98" s="5">
        <f>SUM(Table1[[#This Row],[REGESTRATION]:[MONTHLY FEE]])</f>
        <v>0</v>
      </c>
      <c r="Q98" s="5"/>
    </row>
    <row r="99" spans="1:17" hidden="1" x14ac:dyDescent="0.25">
      <c r="A99" s="12"/>
      <c r="B99" s="22" t="s">
        <v>190</v>
      </c>
      <c r="C99" s="6" t="s">
        <v>191</v>
      </c>
      <c r="D99" s="4" t="s">
        <v>165</v>
      </c>
      <c r="E99" s="30"/>
      <c r="F99" s="6">
        <v>5000</v>
      </c>
      <c r="G99" s="6">
        <v>5000</v>
      </c>
      <c r="H99" s="6">
        <f>Table1[[#This Row],[TOTAL FEE]]-Table1[[#This Row],[PAID]]</f>
        <v>0</v>
      </c>
      <c r="I99" s="6" t="str">
        <f>IF(G99&lt;1, "Unpaid", IF(G99&lt;F99, "Partial Paid", "Paid"))</f>
        <v>Paid</v>
      </c>
      <c r="J99" s="22" t="s">
        <v>192</v>
      </c>
      <c r="K99" s="22"/>
      <c r="L99" s="22"/>
      <c r="M99" s="22"/>
      <c r="N99" s="22"/>
      <c r="O99" s="22"/>
      <c r="P99" s="22">
        <f>SUM(Table1[[#This Row],[REGESTRATION]:[MONTHLY FEE]])</f>
        <v>0</v>
      </c>
      <c r="Q99" s="22"/>
    </row>
    <row r="100" spans="1:17" hidden="1" x14ac:dyDescent="0.25">
      <c r="A100" s="12"/>
      <c r="B100" s="22" t="s">
        <v>172</v>
      </c>
      <c r="C100" s="6" t="s">
        <v>196</v>
      </c>
      <c r="D100" s="4" t="s">
        <v>40</v>
      </c>
      <c r="E100" s="30"/>
      <c r="F100" s="6">
        <v>14500</v>
      </c>
      <c r="G100" s="4">
        <f>Table1[[#This Row],[TOTAL]]</f>
        <v>14500</v>
      </c>
      <c r="H100" s="6">
        <f>Table1[[#This Row],[TOTAL FEE]]-Table1[[#This Row],[PAID]]</f>
        <v>0</v>
      </c>
      <c r="I100" s="6" t="str">
        <f>IF(G100&lt;1, "Unpaid", IF(G100&lt;F100, "Partial Paid", "Paid"))</f>
        <v>Paid</v>
      </c>
      <c r="J100" s="22"/>
      <c r="K100" s="22"/>
      <c r="L100" s="22"/>
      <c r="M100" s="22"/>
      <c r="N100" s="22">
        <v>11000</v>
      </c>
      <c r="O100" s="22">
        <v>3500</v>
      </c>
      <c r="P100" s="5">
        <f>SUM(Table1[[#This Row],[MONTHLY FEE]:[EXAMINATION]])</f>
        <v>14500</v>
      </c>
      <c r="Q100" s="22"/>
    </row>
    <row r="101" spans="1:17" hidden="1" x14ac:dyDescent="0.25">
      <c r="A101" s="12"/>
      <c r="B101" s="22" t="s">
        <v>194</v>
      </c>
      <c r="C101" s="6"/>
      <c r="D101" s="4" t="s">
        <v>165</v>
      </c>
      <c r="E101" s="30"/>
      <c r="F101" s="6">
        <v>4000</v>
      </c>
      <c r="G101" s="6">
        <v>4000</v>
      </c>
      <c r="H101" s="6">
        <f>Table1[[#This Row],[TOTAL FEE]]-Table1[[#This Row],[PAID]]</f>
        <v>0</v>
      </c>
      <c r="I101" s="6" t="str">
        <f>IF(G101&lt;1, "Unpaid", IF(G101&lt;F101, "Partial Paid", "Paid"))</f>
        <v>Paid</v>
      </c>
      <c r="J101" s="22"/>
      <c r="K101" s="22"/>
      <c r="L101" s="22"/>
      <c r="M101" s="22"/>
      <c r="N101" s="22"/>
      <c r="O101" s="22"/>
      <c r="P101" s="22">
        <f>SUM(Table1[[#This Row],[REGESTRATION]:[MONTHLY FEE]])</f>
        <v>0</v>
      </c>
      <c r="Q101" s="22"/>
    </row>
    <row r="102" spans="1:17" hidden="1" x14ac:dyDescent="0.25">
      <c r="A102" s="12"/>
      <c r="B102" s="22" t="s">
        <v>195</v>
      </c>
      <c r="C102" s="6"/>
      <c r="D102" s="4" t="s">
        <v>165</v>
      </c>
      <c r="E102" s="30"/>
      <c r="F102" s="6">
        <v>6500</v>
      </c>
      <c r="G102" s="6">
        <v>5000</v>
      </c>
      <c r="H102" s="6">
        <f>Table1[[#This Row],[TOTAL FEE]]-Table1[[#This Row],[PAID]]</f>
        <v>1500</v>
      </c>
      <c r="I102" s="6" t="str">
        <f>IF(G102&lt;1, "Unpaid", IF(G102&lt;F102, "Partial Paid", "Paid"))</f>
        <v>Partial Paid</v>
      </c>
      <c r="J102" s="22"/>
      <c r="K102" s="22"/>
      <c r="L102" s="22"/>
      <c r="M102" s="22"/>
      <c r="N102" s="22"/>
      <c r="O102" s="22"/>
      <c r="P102" s="22">
        <f>SUM(Table1[[#This Row],[REGESTRATION]:[MONTHLY FEE]])</f>
        <v>0</v>
      </c>
      <c r="Q102" s="22"/>
    </row>
    <row r="105" spans="1:17" x14ac:dyDescent="0.25">
      <c r="I105" t="s">
        <v>198</v>
      </c>
    </row>
    <row r="109" spans="1:17" ht="14.25" customHeight="1" x14ac:dyDescent="0.25"/>
  </sheetData>
  <mergeCells count="8">
    <mergeCell ref="A1:N3"/>
    <mergeCell ref="A6:O6"/>
    <mergeCell ref="D4:F4"/>
    <mergeCell ref="G4:H4"/>
    <mergeCell ref="I4:J4"/>
    <mergeCell ref="D5:F5"/>
    <mergeCell ref="G5:H5"/>
    <mergeCell ref="I5:J5"/>
  </mergeCells>
  <phoneticPr fontId="6" type="noConversion"/>
  <pageMargins left="0.25" right="0.25" top="0.75" bottom="0.75" header="0.3" footer="0.3"/>
  <pageSetup paperSize="9" scale="43"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05528-A1A9-464A-B8DF-04B1A9F8E275}">
  <dimension ref="A1:T54"/>
  <sheetViews>
    <sheetView workbookViewId="0">
      <selection activeCell="D55" sqref="D55"/>
    </sheetView>
  </sheetViews>
  <sheetFormatPr defaultRowHeight="15" x14ac:dyDescent="0.25"/>
  <cols>
    <col min="1" max="1" width="17" customWidth="1"/>
    <col min="2" max="2" width="13.7109375" customWidth="1"/>
    <col min="3" max="3" width="14.7109375" customWidth="1"/>
  </cols>
  <sheetData>
    <row r="1" spans="1:20" x14ac:dyDescent="0.25">
      <c r="A1" s="70" t="s">
        <v>73</v>
      </c>
      <c r="B1" s="71"/>
      <c r="C1" s="71"/>
      <c r="D1" s="71"/>
      <c r="E1" s="71"/>
      <c r="F1" s="71"/>
      <c r="G1" s="71"/>
      <c r="H1" s="71"/>
      <c r="I1" s="71"/>
      <c r="J1" s="71"/>
      <c r="K1" s="71"/>
      <c r="L1" s="71"/>
      <c r="M1" s="71"/>
      <c r="N1" s="71"/>
      <c r="O1" s="71"/>
      <c r="P1" s="71"/>
      <c r="Q1" s="71"/>
      <c r="R1" s="71"/>
      <c r="S1" s="71"/>
      <c r="T1" s="72"/>
    </row>
    <row r="2" spans="1:20" x14ac:dyDescent="0.25">
      <c r="A2" s="73"/>
      <c r="B2" s="74"/>
      <c r="C2" s="74"/>
      <c r="D2" s="74"/>
      <c r="E2" s="74"/>
      <c r="F2" s="74"/>
      <c r="G2" s="74"/>
      <c r="H2" s="74"/>
      <c r="I2" s="74"/>
      <c r="J2" s="74"/>
      <c r="K2" s="74"/>
      <c r="L2" s="74"/>
      <c r="M2" s="74"/>
      <c r="N2" s="74"/>
      <c r="O2" s="74"/>
      <c r="P2" s="74"/>
      <c r="Q2" s="74"/>
      <c r="R2" s="74"/>
      <c r="S2" s="74"/>
      <c r="T2" s="75"/>
    </row>
    <row r="3" spans="1:20" ht="15.75" thickBot="1" x14ac:dyDescent="0.3">
      <c r="A3" s="76"/>
      <c r="B3" s="77"/>
      <c r="C3" s="77"/>
      <c r="D3" s="77"/>
      <c r="E3" s="77"/>
      <c r="F3" s="77"/>
      <c r="G3" s="77"/>
      <c r="H3" s="77"/>
      <c r="I3" s="77"/>
      <c r="J3" s="77"/>
      <c r="K3" s="77"/>
      <c r="L3" s="77"/>
      <c r="M3" s="77"/>
      <c r="N3" s="77"/>
      <c r="O3" s="77"/>
      <c r="P3" s="77"/>
      <c r="Q3" s="77"/>
      <c r="R3" s="77"/>
      <c r="S3" s="77"/>
      <c r="T3" s="78"/>
    </row>
    <row r="4" spans="1:20" x14ac:dyDescent="0.25">
      <c r="A4" s="1"/>
      <c r="B4" s="1"/>
      <c r="C4" s="1"/>
      <c r="D4" s="1"/>
      <c r="E4" s="1"/>
      <c r="F4" s="1"/>
      <c r="G4" s="1"/>
      <c r="H4" s="1"/>
      <c r="I4" s="1"/>
      <c r="J4" s="1"/>
      <c r="K4" s="1"/>
      <c r="L4" s="1"/>
      <c r="M4" s="1"/>
      <c r="N4" s="1"/>
      <c r="O4" s="1"/>
      <c r="P4" s="1"/>
      <c r="Q4" s="1"/>
      <c r="R4" s="1"/>
      <c r="S4" s="1"/>
      <c r="T4" s="1"/>
    </row>
    <row r="5" spans="1:20" ht="15.75" thickBot="1" x14ac:dyDescent="0.3">
      <c r="C5" s="16"/>
    </row>
    <row r="6" spans="1:20" ht="15" customHeight="1" x14ac:dyDescent="0.25">
      <c r="A6" s="49" t="s">
        <v>77</v>
      </c>
      <c r="B6" s="50"/>
      <c r="C6" s="51"/>
      <c r="J6" s="49" t="s">
        <v>82</v>
      </c>
      <c r="K6" s="50"/>
      <c r="L6" s="50"/>
      <c r="M6" s="50"/>
      <c r="N6" s="50"/>
      <c r="O6" s="51"/>
    </row>
    <row r="7" spans="1:20" ht="15.75" customHeight="1" thickBot="1" x14ac:dyDescent="0.3">
      <c r="A7" s="52"/>
      <c r="B7" s="53"/>
      <c r="C7" s="54"/>
      <c r="J7" s="79"/>
      <c r="K7" s="80"/>
      <c r="L7" s="80"/>
      <c r="M7" s="80"/>
      <c r="N7" s="80"/>
      <c r="O7" s="81"/>
    </row>
    <row r="8" spans="1:20" ht="15.75" thickBot="1" x14ac:dyDescent="0.3">
      <c r="A8" s="18" t="s">
        <v>75</v>
      </c>
      <c r="B8" s="21" t="s">
        <v>76</v>
      </c>
      <c r="C8" s="19" t="s">
        <v>6</v>
      </c>
      <c r="J8" s="55" t="s">
        <v>75</v>
      </c>
      <c r="K8" s="55"/>
      <c r="L8" s="55" t="s">
        <v>76</v>
      </c>
      <c r="M8" s="55"/>
      <c r="N8" s="55" t="s">
        <v>6</v>
      </c>
      <c r="O8" s="55"/>
    </row>
    <row r="9" spans="1:20" ht="15.75" thickBot="1" x14ac:dyDescent="0.3">
      <c r="A9" s="13">
        <v>46152</v>
      </c>
      <c r="B9" s="15">
        <v>3000</v>
      </c>
      <c r="C9" s="20" t="s">
        <v>74</v>
      </c>
      <c r="J9" s="56">
        <v>46202</v>
      </c>
      <c r="K9" s="55"/>
      <c r="L9" s="55">
        <v>15300</v>
      </c>
      <c r="M9" s="55"/>
      <c r="N9" s="55" t="s">
        <v>83</v>
      </c>
      <c r="O9" s="55"/>
    </row>
    <row r="10" spans="1:20" ht="15.75" thickBot="1" x14ac:dyDescent="0.3">
      <c r="A10" s="13">
        <v>46147</v>
      </c>
      <c r="B10" s="15">
        <v>6000</v>
      </c>
      <c r="C10" s="20" t="s">
        <v>74</v>
      </c>
      <c r="J10" s="56">
        <v>46202</v>
      </c>
      <c r="K10" s="55"/>
      <c r="L10" s="55">
        <v>11800</v>
      </c>
      <c r="M10" s="55"/>
      <c r="N10" s="55" t="s">
        <v>84</v>
      </c>
      <c r="O10" s="55"/>
    </row>
    <row r="11" spans="1:20" ht="15.75" thickBot="1" x14ac:dyDescent="0.3">
      <c r="A11" s="17">
        <v>46146</v>
      </c>
      <c r="B11" s="15">
        <v>10000</v>
      </c>
      <c r="C11" s="20" t="s">
        <v>74</v>
      </c>
    </row>
    <row r="12" spans="1:20" ht="15.75" thickBot="1" x14ac:dyDescent="0.3">
      <c r="A12" s="17">
        <v>46130</v>
      </c>
      <c r="B12" s="15">
        <v>2000</v>
      </c>
      <c r="C12" s="15" t="s">
        <v>74</v>
      </c>
    </row>
    <row r="13" spans="1:20" ht="15.75" thickBot="1" x14ac:dyDescent="0.3">
      <c r="A13" s="17">
        <v>46129</v>
      </c>
      <c r="B13" s="15">
        <v>2000</v>
      </c>
      <c r="C13" s="15" t="s">
        <v>74</v>
      </c>
    </row>
    <row r="14" spans="1:20" ht="15.75" thickBot="1" x14ac:dyDescent="0.3">
      <c r="A14" s="17">
        <v>46165</v>
      </c>
      <c r="B14" s="15">
        <v>3000</v>
      </c>
      <c r="C14" s="15" t="s">
        <v>74</v>
      </c>
    </row>
    <row r="15" spans="1:20" ht="15.75" thickBot="1" x14ac:dyDescent="0.3">
      <c r="A15" s="17">
        <v>46175</v>
      </c>
      <c r="B15" s="15">
        <v>20000</v>
      </c>
      <c r="C15" s="15" t="s">
        <v>74</v>
      </c>
    </row>
    <row r="16" spans="1:20" ht="15.75" thickBot="1" x14ac:dyDescent="0.3">
      <c r="A16" s="17">
        <v>46182</v>
      </c>
      <c r="B16" s="15">
        <v>3000</v>
      </c>
      <c r="C16" s="15" t="s">
        <v>74</v>
      </c>
    </row>
    <row r="17" spans="1:3" ht="15.75" thickBot="1" x14ac:dyDescent="0.3">
      <c r="A17" s="17">
        <v>46184</v>
      </c>
      <c r="B17" s="15">
        <v>4000</v>
      </c>
      <c r="C17" s="15" t="s">
        <v>74</v>
      </c>
    </row>
    <row r="18" spans="1:3" ht="15.75" thickBot="1" x14ac:dyDescent="0.3">
      <c r="A18" s="17">
        <v>46193</v>
      </c>
      <c r="B18" s="15">
        <v>15500</v>
      </c>
      <c r="C18" s="15" t="s">
        <v>74</v>
      </c>
    </row>
    <row r="19" spans="1:3" ht="15.75" thickBot="1" x14ac:dyDescent="0.3">
      <c r="A19" s="17"/>
      <c r="B19" s="15">
        <v>5000</v>
      </c>
      <c r="C19" s="15" t="s">
        <v>74</v>
      </c>
    </row>
    <row r="20" spans="1:3" ht="15.75" customHeight="1" thickBot="1" x14ac:dyDescent="0.3">
      <c r="A20" s="17">
        <v>46208</v>
      </c>
      <c r="B20" s="15">
        <v>15000</v>
      </c>
      <c r="C20" s="15" t="s">
        <v>74</v>
      </c>
    </row>
    <row r="21" spans="1:3" ht="15.75" hidden="1" customHeight="1" thickBot="1" x14ac:dyDescent="0.3">
      <c r="A21" s="24">
        <v>46219</v>
      </c>
      <c r="B21" s="25">
        <v>1000</v>
      </c>
      <c r="C21" s="26" t="s">
        <v>134</v>
      </c>
    </row>
    <row r="22" spans="1:3" ht="15.75" customHeight="1" thickBot="1" x14ac:dyDescent="0.3">
      <c r="A22" s="24">
        <v>46213</v>
      </c>
      <c r="B22" s="25">
        <v>10000</v>
      </c>
      <c r="C22" s="15" t="s">
        <v>74</v>
      </c>
    </row>
    <row r="23" spans="1:3" ht="15.75" customHeight="1" thickBot="1" x14ac:dyDescent="0.3">
      <c r="A23" s="24">
        <v>46219</v>
      </c>
      <c r="B23" s="25">
        <v>2000</v>
      </c>
      <c r="C23" s="27" t="s">
        <v>74</v>
      </c>
    </row>
    <row r="24" spans="1:3" ht="15.75" customHeight="1" thickBot="1" x14ac:dyDescent="0.3">
      <c r="A24" s="24">
        <v>46223</v>
      </c>
      <c r="B24" s="25">
        <v>15000</v>
      </c>
      <c r="C24" s="27" t="s">
        <v>74</v>
      </c>
    </row>
    <row r="25" spans="1:3" ht="15.75" customHeight="1" thickBot="1" x14ac:dyDescent="0.3">
      <c r="A25" s="24">
        <v>46224</v>
      </c>
      <c r="B25" s="25">
        <v>2000</v>
      </c>
      <c r="C25" s="27" t="s">
        <v>74</v>
      </c>
    </row>
    <row r="26" spans="1:3" ht="15.75" customHeight="1" thickBot="1" x14ac:dyDescent="0.3">
      <c r="A26" s="24">
        <v>46237</v>
      </c>
      <c r="B26" s="25">
        <v>7000</v>
      </c>
      <c r="C26" s="27" t="s">
        <v>74</v>
      </c>
    </row>
    <row r="27" spans="1:3" ht="15.75" customHeight="1" thickBot="1" x14ac:dyDescent="0.3">
      <c r="A27" s="24">
        <v>46239</v>
      </c>
      <c r="B27" s="27">
        <v>13000</v>
      </c>
      <c r="C27" s="27" t="s">
        <v>74</v>
      </c>
    </row>
    <row r="28" spans="1:3" ht="15.75" hidden="1" customHeight="1" thickBot="1" x14ac:dyDescent="0.3">
      <c r="A28" s="24"/>
      <c r="B28" s="27">
        <v>12000</v>
      </c>
      <c r="C28" s="27" t="s">
        <v>164</v>
      </c>
    </row>
    <row r="29" spans="1:3" ht="15.75" hidden="1" customHeight="1" thickBot="1" x14ac:dyDescent="0.3">
      <c r="A29" s="24"/>
      <c r="B29" s="27">
        <v>14500</v>
      </c>
      <c r="C29" s="27" t="s">
        <v>164</v>
      </c>
    </row>
    <row r="30" spans="1:3" ht="15.75" hidden="1" customHeight="1" thickBot="1" x14ac:dyDescent="0.3">
      <c r="A30" s="24"/>
      <c r="B30" s="27">
        <v>17000</v>
      </c>
      <c r="C30" s="27" t="s">
        <v>164</v>
      </c>
    </row>
    <row r="31" spans="1:3" ht="15.75" hidden="1" customHeight="1" thickBot="1" x14ac:dyDescent="0.3">
      <c r="A31" s="24"/>
      <c r="B31" s="27">
        <v>30000</v>
      </c>
      <c r="C31" s="27" t="s">
        <v>164</v>
      </c>
    </row>
    <row r="32" spans="1:3" ht="15.75" hidden="1" customHeight="1" thickBot="1" x14ac:dyDescent="0.3">
      <c r="A32" s="24"/>
      <c r="B32" s="27">
        <v>20000</v>
      </c>
      <c r="C32" s="27" t="s">
        <v>164</v>
      </c>
    </row>
    <row r="33" spans="1:6" ht="15.75" hidden="1" customHeight="1" x14ac:dyDescent="0.3">
      <c r="A33" s="24">
        <v>46241</v>
      </c>
      <c r="B33" s="25">
        <v>49300</v>
      </c>
      <c r="C33" s="27" t="s">
        <v>164</v>
      </c>
    </row>
    <row r="34" spans="1:6" ht="15.75" hidden="1" customHeight="1" thickBot="1" x14ac:dyDescent="0.3">
      <c r="A34" s="24">
        <v>46242</v>
      </c>
      <c r="B34" s="27">
        <v>3500</v>
      </c>
      <c r="C34" s="27" t="s">
        <v>169</v>
      </c>
    </row>
    <row r="35" spans="1:6" ht="15.75" hidden="1" customHeight="1" thickBot="1" x14ac:dyDescent="0.3">
      <c r="A35" s="24">
        <v>46220</v>
      </c>
      <c r="B35" s="25">
        <v>14000</v>
      </c>
      <c r="C35" s="27" t="s">
        <v>169</v>
      </c>
    </row>
    <row r="36" spans="1:6" ht="15.75" customHeight="1" x14ac:dyDescent="0.25">
      <c r="A36" s="24">
        <v>46245</v>
      </c>
      <c r="B36" s="25">
        <v>2000</v>
      </c>
      <c r="C36" s="27" t="s">
        <v>74</v>
      </c>
    </row>
    <row r="37" spans="1:6" ht="18.75" customHeight="1" x14ac:dyDescent="0.25"/>
    <row r="39" spans="1:6" ht="15.75" thickBot="1" x14ac:dyDescent="0.3"/>
    <row r="40" spans="1:6" ht="15.75" customHeight="1" x14ac:dyDescent="0.25">
      <c r="A40" s="49" t="s">
        <v>80</v>
      </c>
      <c r="B40" s="50"/>
      <c r="C40" s="50"/>
      <c r="D40" s="50"/>
      <c r="E40" s="50"/>
      <c r="F40" s="51"/>
    </row>
    <row r="41" spans="1:6" ht="15.75" customHeight="1" thickBot="1" x14ac:dyDescent="0.3">
      <c r="A41" s="52"/>
      <c r="B41" s="53"/>
      <c r="C41" s="53"/>
      <c r="D41" s="53"/>
      <c r="E41" s="53"/>
      <c r="F41" s="54"/>
    </row>
    <row r="42" spans="1:6" ht="15" customHeight="1" x14ac:dyDescent="0.25">
      <c r="A42" s="64" t="s">
        <v>81</v>
      </c>
      <c r="B42" s="65"/>
      <c r="C42" s="66"/>
      <c r="D42" s="63">
        <f>DATA_BASE!D5</f>
        <v>3500</v>
      </c>
      <c r="E42" s="58"/>
      <c r="F42" s="59"/>
    </row>
    <row r="43" spans="1:6" ht="15.75" customHeight="1" thickBot="1" x14ac:dyDescent="0.3">
      <c r="A43" s="67"/>
      <c r="B43" s="68"/>
      <c r="C43" s="69"/>
      <c r="D43" s="60"/>
      <c r="E43" s="61"/>
      <c r="F43" s="62"/>
    </row>
    <row r="44" spans="1:6" ht="15.75" thickBot="1" x14ac:dyDescent="0.3"/>
    <row r="45" spans="1:6" ht="15" customHeight="1" x14ac:dyDescent="0.25">
      <c r="A45" s="49" t="s">
        <v>78</v>
      </c>
      <c r="B45" s="50"/>
      <c r="C45" s="50"/>
      <c r="D45" s="50"/>
      <c r="E45" s="50"/>
      <c r="F45" s="51"/>
    </row>
    <row r="46" spans="1:6" ht="15.75" customHeight="1" thickBot="1" x14ac:dyDescent="0.3">
      <c r="A46" s="52"/>
      <c r="B46" s="53"/>
      <c r="C46" s="53"/>
      <c r="D46" s="53"/>
      <c r="E46" s="53"/>
      <c r="F46" s="54"/>
    </row>
    <row r="47" spans="1:6" ht="15" customHeight="1" x14ac:dyDescent="0.25">
      <c r="A47" s="64" t="s">
        <v>79</v>
      </c>
      <c r="B47" s="65"/>
      <c r="C47" s="66"/>
      <c r="D47" s="63">
        <f>SUBTOTAL(9,B9:B36)</f>
        <v>139500</v>
      </c>
      <c r="E47" s="58"/>
      <c r="F47" s="59"/>
    </row>
    <row r="48" spans="1:6" ht="15.75" customHeight="1" thickBot="1" x14ac:dyDescent="0.3">
      <c r="A48" s="67"/>
      <c r="B48" s="68"/>
      <c r="C48" s="69"/>
      <c r="D48" s="60"/>
      <c r="E48" s="61"/>
      <c r="F48" s="62"/>
    </row>
    <row r="50" spans="1:6" ht="15.75" thickBot="1" x14ac:dyDescent="0.3"/>
    <row r="51" spans="1:6" x14ac:dyDescent="0.25">
      <c r="A51" s="49" t="s">
        <v>7</v>
      </c>
      <c r="B51" s="50"/>
      <c r="C51" s="50"/>
      <c r="D51" s="50"/>
      <c r="E51" s="50"/>
      <c r="F51" s="51"/>
    </row>
    <row r="52" spans="1:6" ht="15.75" thickBot="1" x14ac:dyDescent="0.3">
      <c r="A52" s="52"/>
      <c r="B52" s="53"/>
      <c r="C52" s="53"/>
      <c r="D52" s="53"/>
      <c r="E52" s="53"/>
      <c r="F52" s="54"/>
    </row>
    <row r="53" spans="1:6" ht="15" customHeight="1" x14ac:dyDescent="0.25">
      <c r="A53" s="57" t="s">
        <v>7</v>
      </c>
      <c r="B53" s="58"/>
      <c r="C53" s="59"/>
      <c r="D53" s="63">
        <f>D42-D47</f>
        <v>-136000</v>
      </c>
      <c r="E53" s="58"/>
      <c r="F53" s="59"/>
    </row>
    <row r="54" spans="1:6" ht="15.75" customHeight="1" thickBot="1" x14ac:dyDescent="0.3">
      <c r="A54" s="60"/>
      <c r="B54" s="61"/>
      <c r="C54" s="62"/>
      <c r="D54" s="60"/>
      <c r="E54" s="61"/>
      <c r="F54" s="62"/>
    </row>
  </sheetData>
  <mergeCells count="21">
    <mergeCell ref="A1:T3"/>
    <mergeCell ref="A6:C7"/>
    <mergeCell ref="L8:M8"/>
    <mergeCell ref="N8:O8"/>
    <mergeCell ref="J9:K9"/>
    <mergeCell ref="J6:O7"/>
    <mergeCell ref="J8:K8"/>
    <mergeCell ref="A53:C54"/>
    <mergeCell ref="D53:F54"/>
    <mergeCell ref="A45:F46"/>
    <mergeCell ref="A42:C43"/>
    <mergeCell ref="D42:F43"/>
    <mergeCell ref="A47:C48"/>
    <mergeCell ref="D47:F48"/>
    <mergeCell ref="A51:F52"/>
    <mergeCell ref="A40:F41"/>
    <mergeCell ref="L9:M9"/>
    <mergeCell ref="N9:O9"/>
    <mergeCell ref="J10:K10"/>
    <mergeCell ref="L10:M10"/>
    <mergeCell ref="N10:O10"/>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40A2-2996-4F5A-ACA8-6506288A2B54}">
  <dimension ref="A1:E44"/>
  <sheetViews>
    <sheetView workbookViewId="0">
      <selection activeCell="G27" sqref="G27"/>
    </sheetView>
  </sheetViews>
  <sheetFormatPr defaultRowHeight="15" x14ac:dyDescent="0.25"/>
  <cols>
    <col min="2" max="2" width="22.28515625" bestFit="1" customWidth="1"/>
    <col min="3" max="3" width="11.28515625" bestFit="1" customWidth="1"/>
    <col min="4" max="5" width="10.28515625" bestFit="1" customWidth="1"/>
  </cols>
  <sheetData>
    <row r="1" spans="1:5" x14ac:dyDescent="0.25">
      <c r="A1" s="82" t="s">
        <v>199</v>
      </c>
      <c r="B1" s="82"/>
      <c r="C1" s="82"/>
      <c r="D1" s="82"/>
      <c r="E1" s="82"/>
    </row>
    <row r="2" spans="1:5" x14ac:dyDescent="0.25">
      <c r="A2" s="82"/>
      <c r="B2" s="82"/>
      <c r="C2" s="82"/>
      <c r="D2" s="82"/>
      <c r="E2" s="82"/>
    </row>
    <row r="3" spans="1:5" x14ac:dyDescent="0.25">
      <c r="A3" s="40" t="s">
        <v>200</v>
      </c>
      <c r="B3" s="40" t="s">
        <v>201</v>
      </c>
      <c r="C3" s="40" t="s">
        <v>202</v>
      </c>
      <c r="D3" s="40" t="s">
        <v>203</v>
      </c>
      <c r="E3" s="40" t="s">
        <v>12</v>
      </c>
    </row>
    <row r="4" spans="1:5" x14ac:dyDescent="0.25">
      <c r="A4" s="34">
        <v>1</v>
      </c>
      <c r="B4" s="34" t="s">
        <v>204</v>
      </c>
      <c r="C4" s="34">
        <v>14500</v>
      </c>
      <c r="D4" s="34">
        <v>14000</v>
      </c>
      <c r="E4" s="34">
        <v>500</v>
      </c>
    </row>
    <row r="5" spans="1:5" x14ac:dyDescent="0.25">
      <c r="A5" s="34">
        <v>2</v>
      </c>
      <c r="B5" s="34" t="s">
        <v>205</v>
      </c>
      <c r="C5" s="34">
        <v>14500</v>
      </c>
      <c r="D5" s="34">
        <v>14000</v>
      </c>
      <c r="E5" s="34">
        <v>500</v>
      </c>
    </row>
    <row r="6" spans="1:5" x14ac:dyDescent="0.25">
      <c r="A6" s="34">
        <v>3</v>
      </c>
      <c r="B6" s="34" t="s">
        <v>206</v>
      </c>
      <c r="C6" s="34">
        <v>14500</v>
      </c>
      <c r="D6" s="34">
        <v>14000</v>
      </c>
      <c r="E6" s="34">
        <v>500</v>
      </c>
    </row>
    <row r="7" spans="1:5" x14ac:dyDescent="0.25">
      <c r="A7" s="83" t="s">
        <v>1</v>
      </c>
      <c r="B7" s="83"/>
      <c r="C7" s="83"/>
      <c r="D7" s="84">
        <v>1500</v>
      </c>
      <c r="E7" s="84"/>
    </row>
    <row r="8" spans="1:5" x14ac:dyDescent="0.25">
      <c r="A8" s="83"/>
      <c r="B8" s="83"/>
      <c r="C8" s="83"/>
      <c r="D8" s="84"/>
      <c r="E8" s="84"/>
    </row>
    <row r="10" spans="1:5" x14ac:dyDescent="0.25">
      <c r="A10" s="85" t="s">
        <v>207</v>
      </c>
      <c r="B10" s="85"/>
      <c r="C10" s="85"/>
      <c r="D10" s="85"/>
      <c r="E10" s="85"/>
    </row>
    <row r="11" spans="1:5" x14ac:dyDescent="0.25">
      <c r="A11" s="85"/>
      <c r="B11" s="85"/>
      <c r="C11" s="85"/>
      <c r="D11" s="85"/>
      <c r="E11" s="85"/>
    </row>
    <row r="12" spans="1:5" x14ac:dyDescent="0.25">
      <c r="A12" s="33" t="s">
        <v>200</v>
      </c>
      <c r="B12" s="33" t="s">
        <v>201</v>
      </c>
      <c r="C12" s="33" t="s">
        <v>202</v>
      </c>
      <c r="D12" s="33" t="s">
        <v>203</v>
      </c>
      <c r="E12" s="33" t="s">
        <v>12</v>
      </c>
    </row>
    <row r="13" spans="1:5" x14ac:dyDescent="0.25">
      <c r="A13" s="34">
        <v>1</v>
      </c>
      <c r="B13" s="34" t="s">
        <v>172</v>
      </c>
      <c r="C13" s="34">
        <v>12000</v>
      </c>
      <c r="D13" s="34">
        <v>5900</v>
      </c>
      <c r="E13" s="34">
        <v>6100</v>
      </c>
    </row>
    <row r="14" spans="1:5" x14ac:dyDescent="0.25">
      <c r="A14" s="34">
        <v>2</v>
      </c>
      <c r="B14" s="34" t="s">
        <v>173</v>
      </c>
      <c r="C14" s="34">
        <v>16000</v>
      </c>
      <c r="D14" s="34">
        <v>12000</v>
      </c>
      <c r="E14" s="34">
        <v>4000</v>
      </c>
    </row>
    <row r="15" spans="1:5" x14ac:dyDescent="0.25">
      <c r="A15" s="34">
        <v>3</v>
      </c>
      <c r="B15" s="34" t="s">
        <v>174</v>
      </c>
      <c r="C15" s="34">
        <v>10500</v>
      </c>
      <c r="D15" s="34">
        <v>9500</v>
      </c>
      <c r="E15" s="34">
        <v>1000</v>
      </c>
    </row>
    <row r="16" spans="1:5" x14ac:dyDescent="0.25">
      <c r="A16" s="34">
        <v>4</v>
      </c>
      <c r="B16" s="34" t="s">
        <v>175</v>
      </c>
      <c r="C16" s="34">
        <v>15000</v>
      </c>
      <c r="D16" s="34">
        <v>13500</v>
      </c>
      <c r="E16" s="34">
        <v>1500</v>
      </c>
    </row>
    <row r="17" spans="1:5" x14ac:dyDescent="0.25">
      <c r="A17" s="34">
        <v>5</v>
      </c>
      <c r="B17" s="34" t="s">
        <v>176</v>
      </c>
      <c r="C17" s="34">
        <v>15500</v>
      </c>
      <c r="D17" s="34">
        <v>10500</v>
      </c>
      <c r="E17" s="34">
        <v>5000</v>
      </c>
    </row>
    <row r="18" spans="1:5" x14ac:dyDescent="0.25">
      <c r="A18" s="34">
        <v>6</v>
      </c>
      <c r="B18" s="34" t="s">
        <v>177</v>
      </c>
      <c r="C18" s="34">
        <v>15000</v>
      </c>
      <c r="D18" s="34">
        <v>14500</v>
      </c>
      <c r="E18" s="34">
        <v>1500</v>
      </c>
    </row>
    <row r="19" spans="1:5" x14ac:dyDescent="0.25">
      <c r="A19" s="83" t="s">
        <v>1</v>
      </c>
      <c r="B19" s="83"/>
      <c r="C19" s="83"/>
      <c r="D19" s="84">
        <f>SUM(E13:E18)</f>
        <v>19100</v>
      </c>
      <c r="E19" s="84"/>
    </row>
    <row r="20" spans="1:5" x14ac:dyDescent="0.25">
      <c r="A20" s="83"/>
      <c r="B20" s="83"/>
      <c r="C20" s="83"/>
      <c r="D20" s="84"/>
      <c r="E20" s="84"/>
    </row>
    <row r="22" spans="1:5" x14ac:dyDescent="0.25">
      <c r="A22" s="82" t="s">
        <v>208</v>
      </c>
      <c r="B22" s="82"/>
      <c r="C22" s="82"/>
      <c r="D22" s="82"/>
      <c r="E22" s="82"/>
    </row>
    <row r="23" spans="1:5" x14ac:dyDescent="0.25">
      <c r="A23" s="82"/>
      <c r="B23" s="82"/>
      <c r="C23" s="82"/>
      <c r="D23" s="82"/>
      <c r="E23" s="82"/>
    </row>
    <row r="24" spans="1:5" x14ac:dyDescent="0.25">
      <c r="A24" s="40" t="s">
        <v>200</v>
      </c>
      <c r="B24" s="40" t="s">
        <v>201</v>
      </c>
      <c r="C24" s="40" t="s">
        <v>202</v>
      </c>
      <c r="D24" s="40" t="s">
        <v>203</v>
      </c>
      <c r="E24" s="40" t="s">
        <v>12</v>
      </c>
    </row>
    <row r="25" spans="1:5" x14ac:dyDescent="0.25">
      <c r="A25" s="34">
        <v>1</v>
      </c>
      <c r="B25" s="34" t="s">
        <v>209</v>
      </c>
      <c r="C25" s="34">
        <v>1000</v>
      </c>
      <c r="D25" s="34"/>
      <c r="E25" s="34">
        <v>1000</v>
      </c>
    </row>
    <row r="26" spans="1:5" x14ac:dyDescent="0.25">
      <c r="A26" s="34">
        <v>2</v>
      </c>
      <c r="B26" s="34" t="s">
        <v>210</v>
      </c>
      <c r="C26" s="34">
        <v>1000</v>
      </c>
      <c r="D26" s="34"/>
      <c r="E26" s="34">
        <v>1000</v>
      </c>
    </row>
    <row r="27" spans="1:5" x14ac:dyDescent="0.25">
      <c r="A27" s="34">
        <v>3</v>
      </c>
      <c r="B27" s="34" t="s">
        <v>211</v>
      </c>
      <c r="C27" s="34">
        <v>1000</v>
      </c>
      <c r="D27" s="34"/>
      <c r="E27" s="34">
        <v>1000</v>
      </c>
    </row>
    <row r="28" spans="1:5" x14ac:dyDescent="0.25">
      <c r="A28" s="83" t="s">
        <v>1</v>
      </c>
      <c r="B28" s="83"/>
      <c r="C28" s="83"/>
      <c r="D28" s="84">
        <v>3000</v>
      </c>
      <c r="E28" s="84"/>
    </row>
    <row r="29" spans="1:5" x14ac:dyDescent="0.25">
      <c r="A29" s="83"/>
      <c r="B29" s="83"/>
      <c r="C29" s="83"/>
      <c r="D29" s="84"/>
      <c r="E29" s="84"/>
    </row>
    <row r="31" spans="1:5" x14ac:dyDescent="0.25">
      <c r="A31" s="82" t="s">
        <v>212</v>
      </c>
      <c r="B31" s="82"/>
      <c r="C31" s="82"/>
      <c r="D31" s="82"/>
      <c r="E31" s="82"/>
    </row>
    <row r="32" spans="1:5" x14ac:dyDescent="0.25">
      <c r="A32" s="82"/>
      <c r="B32" s="82"/>
      <c r="C32" s="82"/>
      <c r="D32" s="82"/>
      <c r="E32" s="82"/>
    </row>
    <row r="33" spans="1:5" x14ac:dyDescent="0.25">
      <c r="A33" s="40" t="s">
        <v>200</v>
      </c>
      <c r="B33" s="40" t="s">
        <v>201</v>
      </c>
      <c r="C33" s="40" t="s">
        <v>202</v>
      </c>
      <c r="D33" s="40" t="s">
        <v>203</v>
      </c>
      <c r="E33" s="40" t="s">
        <v>12</v>
      </c>
    </row>
    <row r="34" spans="1:5" x14ac:dyDescent="0.25">
      <c r="A34" s="34">
        <v>1</v>
      </c>
      <c r="B34" s="34" t="s">
        <v>213</v>
      </c>
      <c r="C34" s="36">
        <v>7000</v>
      </c>
      <c r="D34" s="36">
        <v>3500</v>
      </c>
      <c r="E34" s="37">
        <v>3500</v>
      </c>
    </row>
    <row r="35" spans="1:5" x14ac:dyDescent="0.25">
      <c r="A35" s="34">
        <v>2</v>
      </c>
      <c r="B35" s="34" t="s">
        <v>214</v>
      </c>
      <c r="C35" s="35">
        <v>10000</v>
      </c>
      <c r="D35" s="36">
        <v>8000</v>
      </c>
      <c r="E35" s="37">
        <v>2000</v>
      </c>
    </row>
    <row r="36" spans="1:5" x14ac:dyDescent="0.25">
      <c r="A36" s="34">
        <v>3</v>
      </c>
      <c r="B36" s="34" t="s">
        <v>215</v>
      </c>
      <c r="C36" s="35">
        <v>4000</v>
      </c>
      <c r="D36" s="36">
        <v>2000</v>
      </c>
      <c r="E36" s="37">
        <v>2000</v>
      </c>
    </row>
    <row r="37" spans="1:5" x14ac:dyDescent="0.25">
      <c r="A37" s="34">
        <v>4</v>
      </c>
      <c r="B37" s="34" t="s">
        <v>216</v>
      </c>
      <c r="C37" s="35">
        <v>7000</v>
      </c>
      <c r="D37" s="36">
        <v>3500</v>
      </c>
      <c r="E37" s="37">
        <v>3500</v>
      </c>
    </row>
    <row r="38" spans="1:5" x14ac:dyDescent="0.25">
      <c r="A38" s="83" t="s">
        <v>1</v>
      </c>
      <c r="B38" s="83"/>
      <c r="C38" s="83"/>
      <c r="D38" s="86">
        <f>SUM(E34:E37)</f>
        <v>11000</v>
      </c>
      <c r="E38" s="84"/>
    </row>
    <row r="39" spans="1:5" x14ac:dyDescent="0.25">
      <c r="A39" s="83"/>
      <c r="B39" s="83"/>
      <c r="C39" s="83"/>
      <c r="D39" s="84"/>
      <c r="E39" s="84"/>
    </row>
    <row r="41" spans="1:5" x14ac:dyDescent="0.25">
      <c r="A41" s="82" t="s">
        <v>217</v>
      </c>
      <c r="B41" s="82"/>
      <c r="C41" s="82"/>
      <c r="D41" s="82"/>
      <c r="E41" s="82"/>
    </row>
    <row r="42" spans="1:5" ht="9.75" customHeight="1" x14ac:dyDescent="0.25">
      <c r="A42" s="82"/>
      <c r="B42" s="82"/>
      <c r="C42" s="82"/>
      <c r="D42" s="82"/>
      <c r="E42" s="82"/>
    </row>
    <row r="43" spans="1:5" ht="24" x14ac:dyDescent="0.25">
      <c r="A43" s="83" t="s">
        <v>1</v>
      </c>
      <c r="B43" s="83"/>
      <c r="C43" s="83"/>
      <c r="D43" s="86">
        <f>SUM(D7,D19,D28,D38)</f>
        <v>34600</v>
      </c>
      <c r="E43" s="86"/>
    </row>
    <row r="44" spans="1:5" ht="18" customHeight="1" x14ac:dyDescent="0.25">
      <c r="A44" s="38"/>
      <c r="B44" s="38"/>
      <c r="C44" s="38"/>
      <c r="D44" s="39"/>
      <c r="E44" s="39"/>
    </row>
  </sheetData>
  <mergeCells count="15">
    <mergeCell ref="A41:E42"/>
    <mergeCell ref="A43:C43"/>
    <mergeCell ref="D43:E43"/>
    <mergeCell ref="A22:E23"/>
    <mergeCell ref="A28:C29"/>
    <mergeCell ref="D28:E29"/>
    <mergeCell ref="A31:E32"/>
    <mergeCell ref="A38:C39"/>
    <mergeCell ref="D38:E39"/>
    <mergeCell ref="A1:E2"/>
    <mergeCell ref="A7:C8"/>
    <mergeCell ref="D7:E8"/>
    <mergeCell ref="A10:E11"/>
    <mergeCell ref="A19:C20"/>
    <mergeCell ref="D19:E2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DATA_BASE</vt:lpstr>
      <vt:lpstr>TEACHER PAY SYSTEM</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ASDI ATD</dc:creator>
  <cp:lastModifiedBy>ASDI ATD</cp:lastModifiedBy>
  <cp:lastPrinted>2026-09-16T08:07:22Z</cp:lastPrinted>
  <dcterms:created xsi:type="dcterms:W3CDTF">2026-07-09T07:47:47Z</dcterms:created>
  <dcterms:modified xsi:type="dcterms:W3CDTF">2026-10-16T11:19:08Z</dcterms:modified>
</cp:coreProperties>
</file>